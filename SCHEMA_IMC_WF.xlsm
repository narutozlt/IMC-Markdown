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gjiahang\Documents\GitHub\IMC-Markdown\"/>
    </mc:Choice>
  </mc:AlternateContent>
  <bookViews>
    <workbookView xWindow="0" yWindow="0" windowWidth="0" windowHeight="17820" tabRatio="906"/>
  </bookViews>
  <sheets>
    <sheet name="README" sheetId="4" r:id="rId1"/>
    <sheet name="Mapping" sheetId="14" r:id="rId2"/>
    <sheet name="01_接口" sheetId="16" r:id="rId3"/>
    <sheet name="02_枚举" sheetId="18" r:id="rId4"/>
    <sheet name="03_属性" sheetId="20" r:id="rId5"/>
    <sheet name="04_关联关系" sheetId="19" r:id="rId6"/>
    <sheet name="05_类型" sheetId="17" r:id="rId7"/>
    <sheet name="06_表单" sheetId="21" r:id="rId8"/>
    <sheet name="07_表单组" sheetId="22" r:id="rId9"/>
    <sheet name="08_表单项" sheetId="23" r:id="rId10"/>
    <sheet name="09_方法" sheetId="24" r:id="rId11"/>
    <sheet name="10_步骤类型" sheetId="25" r:id="rId12"/>
    <sheet name="11_步骤定义" sheetId="26" r:id="rId13"/>
    <sheet name="12_步骤状态" sheetId="27" r:id="rId14"/>
    <sheet name="13_工作流条件" sheetId="28" r:id="rId15"/>
    <sheet name="14_工作流通知类型" sheetId="29" r:id="rId16"/>
    <sheet name="15_抽象用户" sheetId="30" r:id="rId17"/>
    <sheet name="16_步骤接受者" sheetId="31" r:id="rId18"/>
    <sheet name="17_步骤模板" sheetId="32" r:id="rId19"/>
    <sheet name="18_工作流模板" sheetId="33" r:id="rId20"/>
    <sheet name="19_流程分类" sheetId="34" r:id="rId21"/>
  </sheets>
  <externalReferences>
    <externalReference r:id="rId22"/>
  </externalReferences>
  <definedNames>
    <definedName name="_xlnm._FilterDatabase" localSheetId="4" hidden="1">'03_属性'!$A$3:$Q$50</definedName>
    <definedName name="_xlnm._FilterDatabase" localSheetId="5" hidden="1">'04_关联关系'!$A$3:$V$39</definedName>
    <definedName name="_xlnm._FilterDatabase" localSheetId="6" hidden="1">'05_类型'!$A$19:$O$92</definedName>
    <definedName name="_xlnm._FilterDatabase" localSheetId="8" hidden="1">'07_表单组'!#REF!</definedName>
    <definedName name="_xlnm._FilterDatabase" localSheetId="1" hidden="1">Mapping!$A$3:$H$203</definedName>
    <definedName name="AllBoolean">README!$I$7:$I$8</definedName>
    <definedName name="AllFormats">README!$H$7:$H$8</definedName>
    <definedName name="AllScopes">README!$G$7:$G$10</definedName>
    <definedName name="AllSolutions">README!$F$7:$F$10</definedName>
    <definedName name="IQ_WP">#REF!</definedName>
    <definedName name="mod_eqp">'[1]1031-models'!$D$144:$F$313</definedName>
    <definedName name="OQ_WP">#REF!</definedName>
    <definedName name="PQ_WP">#REF!</definedName>
    <definedName name="SelectedSolution">README!$A$6</definedName>
    <definedName name="Sys_PO_E">#REF!</definedName>
    <definedName name="Sys_PO_I">#REF!</definedName>
    <definedName name="Sys_PO_P">#REF!</definedName>
  </definedNames>
  <calcPr calcId="152511"/>
</workbook>
</file>

<file path=xl/calcChain.xml><?xml version="1.0" encoding="utf-8"?>
<calcChain xmlns="http://schemas.openxmlformats.org/spreadsheetml/2006/main">
  <c r="B4" i="34" l="1"/>
  <c r="B21" i="33"/>
  <c r="B4" i="30"/>
  <c r="B7" i="29"/>
  <c r="B6" i="29"/>
  <c r="B5" i="29"/>
  <c r="B4" i="29"/>
  <c r="B4" i="28"/>
  <c r="B7" i="27"/>
  <c r="B6" i="27"/>
  <c r="B5" i="27"/>
  <c r="B4" i="27"/>
  <c r="B31" i="26"/>
  <c r="B30" i="26"/>
  <c r="B29" i="26"/>
  <c r="B28" i="26"/>
  <c r="B27" i="26"/>
  <c r="B26" i="26"/>
  <c r="B25" i="26"/>
  <c r="B24" i="26"/>
  <c r="B23" i="26"/>
  <c r="B22" i="26"/>
  <c r="B21" i="26"/>
  <c r="B20" i="26"/>
  <c r="B17" i="26"/>
  <c r="B16" i="26"/>
  <c r="B15" i="26"/>
  <c r="B14" i="26"/>
  <c r="B13" i="26"/>
  <c r="B12" i="26"/>
  <c r="B9" i="26"/>
  <c r="B8" i="26"/>
  <c r="B7" i="26"/>
  <c r="B6" i="26"/>
  <c r="B5" i="26"/>
  <c r="B4" i="26"/>
  <c r="B8" i="25"/>
  <c r="B7" i="25"/>
  <c r="B6" i="25"/>
  <c r="B5" i="25"/>
  <c r="B4" i="25"/>
  <c r="B12" i="24"/>
  <c r="B11" i="24"/>
  <c r="B10" i="24"/>
  <c r="B9" i="24"/>
  <c r="B8" i="24"/>
  <c r="B7" i="24"/>
  <c r="B6" i="24"/>
  <c r="B5" i="24"/>
  <c r="B4" i="24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4" i="22"/>
  <c r="B13" i="22"/>
  <c r="B12" i="22"/>
  <c r="B11" i="22"/>
  <c r="B10" i="22"/>
  <c r="B9" i="22"/>
  <c r="B8" i="22"/>
  <c r="B7" i="22"/>
  <c r="B6" i="22"/>
  <c r="B5" i="22"/>
  <c r="B4" i="22"/>
  <c r="B33" i="21"/>
  <c r="B32" i="21"/>
  <c r="B31" i="21"/>
  <c r="D30" i="21"/>
  <c r="B30" i="21"/>
  <c r="D29" i="21"/>
  <c r="B29" i="21"/>
  <c r="D28" i="21"/>
  <c r="B28" i="21"/>
  <c r="B27" i="21"/>
  <c r="B26" i="21"/>
  <c r="B25" i="21"/>
  <c r="D24" i="21"/>
  <c r="B24" i="21"/>
  <c r="D23" i="21"/>
  <c r="B23" i="21"/>
  <c r="D22" i="21"/>
  <c r="B22" i="21"/>
  <c r="D21" i="21"/>
  <c r="B21" i="21"/>
  <c r="D20" i="21"/>
  <c r="B20" i="21"/>
  <c r="B17" i="21"/>
  <c r="B16" i="21"/>
  <c r="B15" i="21"/>
  <c r="B14" i="21"/>
  <c r="B13" i="21"/>
  <c r="B12" i="21"/>
  <c r="B11" i="21"/>
  <c r="B9" i="21"/>
  <c r="B8" i="21"/>
  <c r="B7" i="21"/>
  <c r="B6" i="21"/>
  <c r="B5" i="21"/>
  <c r="B4" i="21"/>
  <c r="B92" i="17"/>
  <c r="H91" i="17"/>
  <c r="B91" i="17"/>
  <c r="H90" i="17"/>
  <c r="B90" i="17"/>
  <c r="H89" i="17"/>
  <c r="B89" i="17"/>
  <c r="H88" i="17"/>
  <c r="B88" i="17"/>
  <c r="H87" i="17"/>
  <c r="B87" i="17"/>
  <c r="H86" i="17"/>
  <c r="B86" i="17"/>
  <c r="H85" i="17"/>
  <c r="B85" i="17"/>
  <c r="H84" i="17"/>
  <c r="B84" i="17"/>
  <c r="H83" i="17"/>
  <c r="B83" i="17"/>
  <c r="H82" i="17"/>
  <c r="B82" i="17"/>
  <c r="H81" i="17"/>
  <c r="B81" i="17"/>
  <c r="H80" i="17"/>
  <c r="B80" i="17"/>
  <c r="H79" i="17"/>
  <c r="B79" i="17"/>
  <c r="H78" i="17"/>
  <c r="B78" i="17"/>
  <c r="H77" i="17"/>
  <c r="B77" i="17"/>
  <c r="H76" i="17"/>
  <c r="B76" i="17"/>
  <c r="H75" i="17"/>
  <c r="D75" i="17"/>
  <c r="B75" i="17"/>
  <c r="H74" i="17"/>
  <c r="D74" i="17"/>
  <c r="B74" i="17"/>
  <c r="H73" i="17"/>
  <c r="D73" i="17"/>
  <c r="B73" i="17"/>
  <c r="H72" i="17"/>
  <c r="D72" i="17"/>
  <c r="B72" i="17"/>
  <c r="H71" i="17"/>
  <c r="D71" i="17"/>
  <c r="B71" i="17"/>
  <c r="H70" i="17"/>
  <c r="D70" i="17"/>
  <c r="B70" i="17"/>
  <c r="H69" i="17"/>
  <c r="D69" i="17"/>
  <c r="B69" i="17"/>
  <c r="H68" i="17"/>
  <c r="D68" i="17"/>
  <c r="B68" i="17"/>
  <c r="H67" i="17"/>
  <c r="D67" i="17"/>
  <c r="B67" i="17"/>
  <c r="H66" i="17"/>
  <c r="D66" i="17"/>
  <c r="B66" i="17"/>
  <c r="H65" i="17"/>
  <c r="D65" i="17"/>
  <c r="B65" i="17"/>
  <c r="H64" i="17"/>
  <c r="D64" i="17"/>
  <c r="B64" i="17"/>
  <c r="H63" i="17"/>
  <c r="D63" i="17"/>
  <c r="B63" i="17"/>
  <c r="H62" i="17"/>
  <c r="D62" i="17"/>
  <c r="B62" i="17"/>
  <c r="H61" i="17"/>
  <c r="D61" i="17"/>
  <c r="B61" i="17"/>
  <c r="H60" i="17"/>
  <c r="D60" i="17"/>
  <c r="B60" i="17"/>
  <c r="H59" i="17"/>
  <c r="D59" i="17"/>
  <c r="B59" i="17"/>
  <c r="H58" i="17"/>
  <c r="D58" i="17"/>
  <c r="B58" i="17"/>
  <c r="H57" i="17"/>
  <c r="D57" i="17"/>
  <c r="B57" i="17"/>
  <c r="H56" i="17"/>
  <c r="D56" i="17"/>
  <c r="B56" i="17"/>
  <c r="H55" i="17"/>
  <c r="D55" i="17"/>
  <c r="B55" i="17"/>
  <c r="H54" i="17"/>
  <c r="D54" i="17"/>
  <c r="B54" i="17"/>
  <c r="H53" i="17"/>
  <c r="D53" i="17"/>
  <c r="B53" i="17"/>
  <c r="H52" i="17"/>
  <c r="D52" i="17"/>
  <c r="B52" i="17"/>
  <c r="H51" i="17"/>
  <c r="D51" i="17"/>
  <c r="B51" i="17"/>
  <c r="H50" i="17"/>
  <c r="D50" i="17"/>
  <c r="B50" i="17"/>
  <c r="H49" i="17"/>
  <c r="D49" i="17"/>
  <c r="B49" i="17"/>
  <c r="H48" i="17"/>
  <c r="D48" i="17"/>
  <c r="B48" i="17"/>
  <c r="H47" i="17"/>
  <c r="D47" i="17"/>
  <c r="B47" i="17"/>
  <c r="H46" i="17"/>
  <c r="D46" i="17"/>
  <c r="B46" i="17"/>
  <c r="H45" i="17"/>
  <c r="D45" i="17"/>
  <c r="B45" i="17"/>
  <c r="H44" i="17"/>
  <c r="D44" i="17"/>
  <c r="B44" i="17"/>
  <c r="H43" i="17"/>
  <c r="D43" i="17"/>
  <c r="B43" i="17"/>
  <c r="H42" i="17"/>
  <c r="D42" i="17"/>
  <c r="B42" i="17"/>
  <c r="H41" i="17"/>
  <c r="D41" i="17"/>
  <c r="B41" i="17"/>
  <c r="H40" i="17"/>
  <c r="D40" i="17"/>
  <c r="B40" i="17"/>
  <c r="H39" i="17"/>
  <c r="D39" i="17"/>
  <c r="B39" i="17"/>
  <c r="H38" i="17"/>
  <c r="D38" i="17"/>
  <c r="B38" i="17"/>
  <c r="H37" i="17"/>
  <c r="D37" i="17"/>
  <c r="B37" i="17"/>
  <c r="H36" i="17"/>
  <c r="D36" i="17"/>
  <c r="B36" i="17"/>
  <c r="H35" i="17"/>
  <c r="D35" i="17"/>
  <c r="B35" i="17"/>
  <c r="H34" i="17"/>
  <c r="D34" i="17"/>
  <c r="B34" i="17"/>
  <c r="H33" i="17"/>
  <c r="D33" i="17"/>
  <c r="B33" i="17"/>
  <c r="H32" i="17"/>
  <c r="D32" i="17"/>
  <c r="B32" i="17"/>
  <c r="H31" i="17"/>
  <c r="D31" i="17"/>
  <c r="B31" i="17"/>
  <c r="H30" i="17"/>
  <c r="D30" i="17"/>
  <c r="B30" i="17"/>
  <c r="H29" i="17"/>
  <c r="D29" i="17"/>
  <c r="B29" i="17"/>
  <c r="H28" i="17"/>
  <c r="D28" i="17"/>
  <c r="B28" i="17"/>
  <c r="H27" i="17"/>
  <c r="D27" i="17"/>
  <c r="B27" i="17"/>
  <c r="H26" i="17"/>
  <c r="D26" i="17"/>
  <c r="B26" i="17"/>
  <c r="H25" i="17"/>
  <c r="D25" i="17"/>
  <c r="B25" i="17"/>
  <c r="H24" i="17"/>
  <c r="D24" i="17"/>
  <c r="B24" i="17"/>
  <c r="H23" i="17"/>
  <c r="D23" i="17"/>
  <c r="B23" i="17"/>
  <c r="H22" i="17"/>
  <c r="D22" i="17"/>
  <c r="B22" i="17"/>
  <c r="H21" i="17"/>
  <c r="D21" i="17"/>
  <c r="B21" i="17"/>
  <c r="H20" i="17"/>
  <c r="D20" i="17"/>
  <c r="B20" i="17"/>
  <c r="B17" i="17"/>
  <c r="B16" i="17"/>
  <c r="E15" i="17"/>
  <c r="B15" i="17"/>
  <c r="E14" i="17"/>
  <c r="B14" i="17"/>
  <c r="E13" i="17"/>
  <c r="B13" i="17"/>
  <c r="E12" i="17"/>
  <c r="B12" i="17"/>
  <c r="E11" i="17"/>
  <c r="B11" i="17"/>
  <c r="B10" i="17"/>
  <c r="E9" i="17"/>
  <c r="B9" i="17"/>
  <c r="E8" i="17"/>
  <c r="B8" i="17"/>
  <c r="B7" i="17"/>
  <c r="E6" i="17"/>
  <c r="B6" i="17"/>
  <c r="B5" i="17"/>
  <c r="E4" i="17"/>
  <c r="B4" i="17"/>
  <c r="E39" i="19"/>
  <c r="B39" i="19"/>
  <c r="E38" i="19"/>
  <c r="B38" i="19"/>
  <c r="E37" i="19"/>
  <c r="B37" i="19"/>
  <c r="E36" i="19"/>
  <c r="B36" i="19"/>
  <c r="E35" i="19"/>
  <c r="B35" i="19"/>
  <c r="E34" i="19"/>
  <c r="B34" i="19"/>
  <c r="E33" i="19"/>
  <c r="B33" i="19"/>
  <c r="E32" i="19"/>
  <c r="B32" i="19"/>
  <c r="E31" i="19"/>
  <c r="B31" i="19"/>
  <c r="E30" i="19"/>
  <c r="B30" i="19"/>
  <c r="E29" i="19"/>
  <c r="B29" i="19"/>
  <c r="E28" i="19"/>
  <c r="B28" i="19"/>
  <c r="E27" i="19"/>
  <c r="B27" i="19"/>
  <c r="E26" i="19"/>
  <c r="B26" i="19"/>
  <c r="E25" i="19"/>
  <c r="B25" i="19"/>
  <c r="E24" i="19"/>
  <c r="B24" i="19"/>
  <c r="E23" i="19"/>
  <c r="B23" i="19"/>
  <c r="E22" i="19"/>
  <c r="B22" i="19"/>
  <c r="E21" i="19"/>
  <c r="B21" i="19"/>
  <c r="E20" i="19"/>
  <c r="B20" i="19"/>
  <c r="E19" i="19"/>
  <c r="B19" i="19"/>
  <c r="E18" i="19"/>
  <c r="B18" i="19"/>
  <c r="E17" i="19"/>
  <c r="B17" i="19"/>
  <c r="E16" i="19"/>
  <c r="B16" i="19"/>
  <c r="E15" i="19"/>
  <c r="B15" i="19"/>
  <c r="E14" i="19"/>
  <c r="B14" i="19"/>
  <c r="E13" i="19"/>
  <c r="B13" i="19"/>
  <c r="E12" i="19"/>
  <c r="B12" i="19"/>
  <c r="E11" i="19"/>
  <c r="B11" i="19"/>
  <c r="E10" i="19"/>
  <c r="B10" i="19"/>
  <c r="E9" i="19"/>
  <c r="B9" i="19"/>
  <c r="E8" i="19"/>
  <c r="B8" i="19"/>
  <c r="E7" i="19"/>
  <c r="B7" i="19"/>
  <c r="E6" i="19"/>
  <c r="B6" i="19"/>
  <c r="E5" i="19"/>
  <c r="B5" i="19"/>
  <c r="E4" i="19"/>
  <c r="B4" i="19"/>
  <c r="E50" i="20"/>
  <c r="B50" i="20"/>
  <c r="E49" i="20"/>
  <c r="B49" i="20"/>
  <c r="E48" i="20"/>
  <c r="B48" i="20"/>
  <c r="B47" i="20"/>
  <c r="E46" i="20"/>
  <c r="B46" i="20"/>
  <c r="E45" i="20"/>
  <c r="B45" i="20"/>
  <c r="E44" i="20"/>
  <c r="B44" i="20"/>
  <c r="E43" i="20"/>
  <c r="B43" i="20"/>
  <c r="E42" i="20"/>
  <c r="B42" i="20"/>
  <c r="E41" i="20"/>
  <c r="B41" i="20"/>
  <c r="E40" i="20"/>
  <c r="B40" i="20"/>
  <c r="E39" i="20"/>
  <c r="B39" i="20"/>
  <c r="E38" i="20"/>
  <c r="B38" i="20"/>
  <c r="E37" i="20"/>
  <c r="B37" i="20"/>
  <c r="E36" i="20"/>
  <c r="B36" i="20"/>
  <c r="E35" i="20"/>
  <c r="B35" i="20"/>
  <c r="E34" i="20"/>
  <c r="B34" i="20"/>
  <c r="E33" i="20"/>
  <c r="B33" i="20"/>
  <c r="E32" i="20"/>
  <c r="B32" i="20"/>
  <c r="E31" i="20"/>
  <c r="B31" i="20"/>
  <c r="E30" i="20"/>
  <c r="B30" i="20"/>
  <c r="E29" i="20"/>
  <c r="B29" i="20"/>
  <c r="E28" i="20"/>
  <c r="B28" i="20"/>
  <c r="E27" i="20"/>
  <c r="B27" i="20"/>
  <c r="E26" i="20"/>
  <c r="B26" i="20"/>
  <c r="E25" i="20"/>
  <c r="B25" i="20"/>
  <c r="E24" i="20"/>
  <c r="B24" i="20"/>
  <c r="E23" i="20"/>
  <c r="B23" i="20"/>
  <c r="E22" i="20"/>
  <c r="B22" i="20"/>
  <c r="E21" i="20"/>
  <c r="B21" i="20"/>
  <c r="E20" i="20"/>
  <c r="B20" i="20"/>
  <c r="E19" i="20"/>
  <c r="B19" i="20"/>
  <c r="E18" i="20"/>
  <c r="B18" i="20"/>
  <c r="E17" i="20"/>
  <c r="B17" i="20"/>
  <c r="E16" i="20"/>
  <c r="B16" i="20"/>
  <c r="E15" i="20"/>
  <c r="B15" i="20"/>
  <c r="E14" i="20"/>
  <c r="B14" i="20"/>
  <c r="E13" i="20"/>
  <c r="B13" i="20"/>
  <c r="B12" i="20"/>
  <c r="E11" i="20"/>
  <c r="B11" i="20"/>
  <c r="E10" i="20"/>
  <c r="B10" i="20"/>
  <c r="B9" i="20"/>
  <c r="B8" i="20"/>
  <c r="B7" i="20"/>
  <c r="B6" i="20"/>
  <c r="B5" i="20"/>
  <c r="E4" i="20"/>
  <c r="B4" i="20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E31" i="18"/>
  <c r="B31" i="18"/>
  <c r="E30" i="18"/>
  <c r="B30" i="18"/>
  <c r="E29" i="18"/>
  <c r="B29" i="18"/>
  <c r="B28" i="18"/>
  <c r="B27" i="18"/>
  <c r="B26" i="18"/>
  <c r="B25" i="18"/>
  <c r="E24" i="18"/>
  <c r="B24" i="18"/>
  <c r="E23" i="18"/>
  <c r="B23" i="18"/>
  <c r="E22" i="18"/>
  <c r="B22" i="18"/>
  <c r="E21" i="18"/>
  <c r="B21" i="18"/>
  <c r="E20" i="18"/>
  <c r="B20" i="18"/>
  <c r="E19" i="18"/>
  <c r="B19" i="18"/>
  <c r="E18" i="18"/>
  <c r="B18" i="18"/>
  <c r="E17" i="18"/>
  <c r="B17" i="18"/>
  <c r="B16" i="18"/>
  <c r="E15" i="18"/>
  <c r="B15" i="18"/>
  <c r="E14" i="18"/>
  <c r="B14" i="18"/>
  <c r="E13" i="18"/>
  <c r="B13" i="18"/>
  <c r="E12" i="18"/>
  <c r="B12" i="18"/>
  <c r="E11" i="18"/>
  <c r="B11" i="18"/>
  <c r="E10" i="18"/>
  <c r="B10" i="18"/>
  <c r="E9" i="18"/>
  <c r="B9" i="18"/>
  <c r="E8" i="18"/>
  <c r="B8" i="18"/>
  <c r="E7" i="18"/>
  <c r="B7" i="18"/>
  <c r="E6" i="18"/>
  <c r="B6" i="18"/>
  <c r="E5" i="18"/>
  <c r="B5" i="18"/>
  <c r="E4" i="18"/>
  <c r="B4" i="18"/>
  <c r="B57" i="16"/>
  <c r="D56" i="16"/>
  <c r="B56" i="16"/>
  <c r="B55" i="16"/>
  <c r="D54" i="16"/>
  <c r="B54" i="16"/>
  <c r="D53" i="16"/>
  <c r="B53" i="16"/>
  <c r="D52" i="16"/>
  <c r="B52" i="16"/>
  <c r="B51" i="16"/>
  <c r="H50" i="16"/>
  <c r="D50" i="16"/>
  <c r="B50" i="16"/>
  <c r="H49" i="16"/>
  <c r="D49" i="16"/>
  <c r="B49" i="16"/>
  <c r="B48" i="16"/>
  <c r="H47" i="16"/>
  <c r="D47" i="16"/>
  <c r="B47" i="16"/>
  <c r="H46" i="16"/>
  <c r="D46" i="16"/>
  <c r="B46" i="16"/>
  <c r="H45" i="16"/>
  <c r="D45" i="16"/>
  <c r="B45" i="16"/>
  <c r="H44" i="16"/>
  <c r="D44" i="16"/>
  <c r="B44" i="16"/>
  <c r="H43" i="16"/>
  <c r="D43" i="16"/>
  <c r="B43" i="16"/>
  <c r="H42" i="16"/>
  <c r="D42" i="16"/>
  <c r="B42" i="16"/>
  <c r="H41" i="16"/>
  <c r="D41" i="16"/>
  <c r="B41" i="16"/>
  <c r="H40" i="16"/>
  <c r="D40" i="16"/>
  <c r="B40" i="16"/>
  <c r="H39" i="16"/>
  <c r="D39" i="16"/>
  <c r="B39" i="16"/>
  <c r="H38" i="16"/>
  <c r="D38" i="16"/>
  <c r="B38" i="16"/>
  <c r="H37" i="16"/>
  <c r="B37" i="16"/>
  <c r="H36" i="16"/>
  <c r="D36" i="16"/>
  <c r="B36" i="16"/>
  <c r="H35" i="16"/>
  <c r="D35" i="16"/>
  <c r="B35" i="16"/>
  <c r="H34" i="16"/>
  <c r="D34" i="16"/>
  <c r="B34" i="16"/>
  <c r="H33" i="16"/>
  <c r="D33" i="16"/>
  <c r="B33" i="16"/>
  <c r="H32" i="16"/>
  <c r="B32" i="16"/>
  <c r="E29" i="16"/>
  <c r="B29" i="16"/>
  <c r="E28" i="16"/>
  <c r="B28" i="16"/>
  <c r="E27" i="16"/>
  <c r="B27" i="16"/>
  <c r="E26" i="16"/>
  <c r="B26" i="16"/>
  <c r="E25" i="16"/>
  <c r="B25" i="16"/>
  <c r="E24" i="16"/>
  <c r="B24" i="16"/>
  <c r="E23" i="16"/>
  <c r="B23" i="16"/>
  <c r="E22" i="16"/>
  <c r="B22" i="16"/>
  <c r="E21" i="16"/>
  <c r="B21" i="16"/>
  <c r="E20" i="16"/>
  <c r="B20" i="16"/>
  <c r="E19" i="16"/>
  <c r="B19" i="16"/>
  <c r="E18" i="16"/>
  <c r="B18" i="16"/>
  <c r="E17" i="16"/>
  <c r="B17" i="16"/>
  <c r="E16" i="16"/>
  <c r="B16" i="16"/>
  <c r="E15" i="16"/>
  <c r="B15" i="16"/>
  <c r="E14" i="16"/>
  <c r="B14" i="16"/>
  <c r="E13" i="16"/>
  <c r="B13" i="16"/>
  <c r="E12" i="16"/>
  <c r="B12" i="16"/>
  <c r="E11" i="16"/>
  <c r="B11" i="16"/>
  <c r="E10" i="16"/>
  <c r="B10" i="16"/>
  <c r="E9" i="16"/>
  <c r="B9" i="16"/>
  <c r="E8" i="16"/>
  <c r="B8" i="16"/>
  <c r="E7" i="16"/>
  <c r="B7" i="16"/>
  <c r="E6" i="16"/>
  <c r="B6" i="16"/>
  <c r="E5" i="16"/>
  <c r="B5" i="16"/>
  <c r="E4" i="16"/>
  <c r="B4" i="16"/>
</calcChain>
</file>

<file path=xl/comments1.xml><?xml version="1.0" encoding="utf-8"?>
<comments xmlns="http://schemas.openxmlformats.org/spreadsheetml/2006/main">
  <authors>
    <author>Unknown User</author>
  </authors>
  <commentList>
    <comment ref="B5" authorId="0" shapeId="0">
      <text>
        <r>
          <rPr>
            <b/>
            <sz val="9"/>
            <rFont val="宋体"/>
            <charset val="134"/>
          </rPr>
          <t>批注:</t>
        </r>
        <r>
          <rPr>
            <sz val="9"/>
            <rFont val="宋体"/>
            <charset val="134"/>
          </rPr>
          <t xml:space="preserve">
陈静:
2023-6-6 添加
</t>
        </r>
      </text>
    </comment>
    <comment ref="B8" authorId="0" shapeId="0">
      <text>
        <r>
          <rPr>
            <b/>
            <sz val="9"/>
            <rFont val="宋体"/>
            <charset val="134"/>
          </rPr>
          <t>批注:</t>
        </r>
        <r>
          <rPr>
            <sz val="9"/>
            <rFont val="宋体"/>
            <charset val="134"/>
          </rPr>
          <t xml:space="preserve">
陈静:
2023-6-6 添加
</t>
        </r>
      </text>
    </comment>
  </commentList>
</comments>
</file>

<file path=xl/comments2.xml><?xml version="1.0" encoding="utf-8"?>
<comments xmlns="http://schemas.openxmlformats.org/spreadsheetml/2006/main">
  <authors>
    <author>Unknown User</author>
  </authors>
  <commentList>
    <comment ref="B29" authorId="0" shapeId="0">
      <text>
        <r>
          <rPr>
            <b/>
            <sz val="9"/>
            <rFont val="宋体"/>
            <charset val="134"/>
          </rPr>
          <t>批注:</t>
        </r>
        <r>
          <rPr>
            <sz val="9"/>
            <rFont val="宋体"/>
            <charset val="134"/>
          </rPr>
          <t xml:space="preserve">
陈静:
2023 6-6 添加 的关联关系
</t>
        </r>
      </text>
    </comment>
  </commentList>
</comments>
</file>

<file path=xl/sharedStrings.xml><?xml version="1.0" encoding="utf-8"?>
<sst xmlns="http://schemas.openxmlformats.org/spreadsheetml/2006/main" count="5285" uniqueCount="1160">
  <si>
    <t>Description</t>
  </si>
  <si>
    <t>&lt;Description goes here.&gt;</t>
  </si>
  <si>
    <t>CIM</t>
  </si>
  <si>
    <t>Solutions List</t>
  </si>
  <si>
    <t>Scopes</t>
  </si>
  <si>
    <t>Formats</t>
  </si>
  <si>
    <t>Boolean</t>
  </si>
  <si>
    <t>Schema</t>
  </si>
  <si>
    <t>XML</t>
  </si>
  <si>
    <t>SmartPlant Solution Templates - Map</t>
  </si>
  <si>
    <t>列明</t>
  </si>
  <si>
    <t>定义名称</t>
  </si>
  <si>
    <t>映射类型</t>
  </si>
  <si>
    <t>配置信息</t>
  </si>
  <si>
    <t>映射函数</t>
  </si>
  <si>
    <r>
      <rPr>
        <b/>
        <i/>
        <sz val="11"/>
        <color rgb="FFFFFFFF"/>
        <rFont val="宋体"/>
        <charset val="134"/>
      </rPr>
      <t>参数</t>
    </r>
    <r>
      <rPr>
        <b/>
        <i/>
        <sz val="11"/>
        <color rgb="FFFFFFFF"/>
        <rFont val="Arial"/>
        <charset val="134"/>
      </rPr>
      <t>1</t>
    </r>
  </si>
  <si>
    <r>
      <rPr>
        <b/>
        <i/>
        <sz val="11"/>
        <color rgb="FFFFFFFF"/>
        <rFont val="宋体"/>
        <charset val="134"/>
      </rPr>
      <t>参数</t>
    </r>
    <r>
      <rPr>
        <b/>
        <i/>
        <sz val="11"/>
        <color rgb="FFFFFFFF"/>
        <rFont val="Arial"/>
        <charset val="134"/>
      </rPr>
      <t>2</t>
    </r>
  </si>
  <si>
    <r>
      <rPr>
        <b/>
        <i/>
        <sz val="11"/>
        <color rgb="FFFFFFFF"/>
        <rFont val="宋体"/>
        <charset val="134"/>
      </rPr>
      <t>参数</t>
    </r>
    <r>
      <rPr>
        <b/>
        <i/>
        <sz val="11"/>
        <color rgb="FFFFFFFF"/>
        <rFont val="Arial"/>
        <charset val="134"/>
      </rPr>
      <t>3</t>
    </r>
  </si>
  <si>
    <t>CompSchema</t>
  </si>
  <si>
    <t>Object</t>
  </si>
  <si>
    <t>IObject,ICompSchema,ISchemaObject</t>
  </si>
  <si>
    <t>InterfaceDef</t>
  </si>
  <si>
    <t>IObject,IInterfaceDef,ISchemaObject,IObjectEx</t>
  </si>
  <si>
    <t>Implies</t>
  </si>
  <si>
    <t>Rel</t>
  </si>
  <si>
    <t>ClassDef</t>
  </si>
  <si>
    <t>IObject,IObjectEx,IClassDef,ISchemaObject,ICachedInfo,ITableInfo</t>
  </si>
  <si>
    <t>Realizes</t>
  </si>
  <si>
    <t>EnumListType</t>
  </si>
  <si>
    <t>IObject,IObjectEx,IEnumListType,IPropertyValueType,ISchemaObject</t>
  </si>
  <si>
    <t>EnumListLevelType</t>
  </si>
  <si>
    <t>IObject,IPropertyType,IEnumListLevelType,ISchemaObject</t>
  </si>
  <si>
    <t>EnumEnum</t>
  </si>
  <si>
    <t>IObject,IEnumEnum,ISchemaObject</t>
  </si>
  <si>
    <t>Contains</t>
  </si>
  <si>
    <t>PropertyDef</t>
  </si>
  <si>
    <t>IObject,IPropertyDef,ISchemaObject,IObjectEx</t>
  </si>
  <si>
    <t>Relationship Definition</t>
  </si>
  <si>
    <t>RelDef</t>
  </si>
  <si>
    <t>IObject,IRelDef,ISchemaObject,IObjectEx,ITableInfo,ICachedInfo</t>
  </si>
  <si>
    <t>EdgeDef</t>
  </si>
  <si>
    <t>IObject,IEdgeDef,IEdgeDef2,ISimpleCriteria,IPositionCriteria,ISchemaObject,ISPFEdgeDefExt</t>
  </si>
  <si>
    <t>ViewDef</t>
  </si>
  <si>
    <t>uid</t>
  </si>
  <si>
    <t>Property</t>
  </si>
  <si>
    <t>IObject</t>
  </si>
  <si>
    <t>name</t>
  </si>
  <si>
    <t>IObjectEx</t>
  </si>
  <si>
    <t>Solution(s)</t>
  </si>
  <si>
    <t>Solutions</t>
  </si>
  <si>
    <t>description</t>
  </si>
  <si>
    <t>displayName</t>
  </si>
  <si>
    <t>IObject,IRel</t>
  </si>
  <si>
    <t>UomListType</t>
  </si>
  <si>
    <t>IObject,IObjectEx,IEnumListType,IPropertyValueType,ISchemaObject,IUomListType</t>
  </si>
  <si>
    <t>Property Value Type</t>
  </si>
  <si>
    <t>PropertyValueType</t>
  </si>
  <si>
    <t>IObject,IObjectEx,IPropertyValueType,ISchemaObject</t>
  </si>
  <si>
    <t>config</t>
  </si>
  <si>
    <t>creationUser</t>
  </si>
  <si>
    <t>creationDate</t>
  </si>
  <si>
    <t>isActivated</t>
  </si>
  <si>
    <t>ISchemaObject</t>
  </si>
  <si>
    <t>lastUpdateDate</t>
  </si>
  <si>
    <t>lastUpdateUser</t>
  </si>
  <si>
    <t>terminationDate</t>
  </si>
  <si>
    <t>terminationUser</t>
  </si>
  <si>
    <t>uidPattern</t>
  </si>
  <si>
    <t>IClassDef</t>
  </si>
  <si>
    <t>containerId</t>
  </si>
  <si>
    <t>rev</t>
  </si>
  <si>
    <t>ver</t>
  </si>
  <si>
    <t>tableName</t>
  </si>
  <si>
    <t>ITableInfo</t>
  </si>
  <si>
    <t>cachedInfo</t>
  </si>
  <si>
    <t>ICachedInfo</t>
  </si>
  <si>
    <t>name1</t>
  </si>
  <si>
    <t>IRel</t>
  </si>
  <si>
    <t>name2</t>
  </si>
  <si>
    <t>classDefinitionUid1</t>
  </si>
  <si>
    <t>classDefinitionUid2</t>
  </si>
  <si>
    <t>uid1</t>
  </si>
  <si>
    <t>uid2</t>
  </si>
  <si>
    <t>relDef</t>
  </si>
  <si>
    <t>orderValue</t>
  </si>
  <si>
    <t>isRequired</t>
  </si>
  <si>
    <t>interfaceDefUid1</t>
  </si>
  <si>
    <t>IRelDef</t>
  </si>
  <si>
    <t>interfaceDefUid2</t>
  </si>
  <si>
    <t>min1</t>
  </si>
  <si>
    <t>min2</t>
  </si>
  <si>
    <t>max1</t>
  </si>
  <si>
    <t>max2</t>
  </si>
  <si>
    <t>displayName1</t>
  </si>
  <si>
    <t>displayName2</t>
  </si>
  <si>
    <t>enumNumber</t>
  </si>
  <si>
    <t>IEnumListType</t>
  </si>
  <si>
    <t>interfaceSequenceNumber</t>
  </si>
  <si>
    <t>IInterfaceDef</t>
  </si>
  <si>
    <t>uniqueKey</t>
  </si>
  <si>
    <t>uniqueKeyPattern</t>
  </si>
  <si>
    <t>interfaces</t>
  </si>
  <si>
    <t>classDefinitionUid</t>
  </si>
  <si>
    <t>propertyValueType</t>
  </si>
  <si>
    <t>IPropertyDef</t>
  </si>
  <si>
    <t>propertyValueTypeDetails</t>
  </si>
  <si>
    <t>isMandatory</t>
  </si>
  <si>
    <t>isDbField</t>
  </si>
  <si>
    <t>HistoryRetained</t>
  </si>
  <si>
    <t>fieldLength</t>
  </si>
  <si>
    <t>exposedInterfaceDefUid</t>
  </si>
  <si>
    <t>fieldName</t>
  </si>
  <si>
    <t>optionalInterfaces</t>
  </si>
  <si>
    <t>isConfigControlled</t>
  </si>
  <si>
    <t>CIMUIContainer</t>
  </si>
  <si>
    <t>ICIMUIContainer,IObject,IObjectEx</t>
  </si>
  <si>
    <t>CIMUIComponent</t>
  </si>
  <si>
    <t>IObject,IObjectEx,ICIMUIComponent,ICIMUIAction</t>
  </si>
  <si>
    <t>CIMCompType</t>
  </si>
  <si>
    <t>ICIMUIComponent</t>
  </si>
  <si>
    <t>是否显示删除按钮</t>
  </si>
  <si>
    <t>CIMObjCanDelete</t>
  </si>
  <si>
    <t>ICIMUIContainer</t>
  </si>
  <si>
    <t>目的</t>
  </si>
  <si>
    <t>CIMContainerPurpose</t>
  </si>
  <si>
    <t>是否显示编辑按钮</t>
  </si>
  <si>
    <t>CIMObjCanEdit</t>
  </si>
  <si>
    <t>UIContainer2Section</t>
  </si>
  <si>
    <t>ClassDef2CIMUIContainer</t>
  </si>
  <si>
    <t>UISection2Component</t>
  </si>
  <si>
    <t>CIMFormItemShow</t>
  </si>
  <si>
    <t>ICIMFormItemRel</t>
  </si>
  <si>
    <t>CIMFormItemLabel</t>
  </si>
  <si>
    <t>CIMFormItemShowLogic</t>
  </si>
  <si>
    <t>CIMFormItemQueryCriteria</t>
  </si>
  <si>
    <t>CIMFormItemPlaceholder</t>
  </si>
  <si>
    <t>CIMFormItemRequired</t>
  </si>
  <si>
    <t>CIMFormItemRequiredLogic</t>
  </si>
  <si>
    <t>CIMFormItemDisable</t>
  </si>
  <si>
    <t>CIMFormItemDefaultValue</t>
  </si>
  <si>
    <t>CIMFormItemMultipleSelect</t>
  </si>
  <si>
    <t>CIMFormItemMinWidth</t>
  </si>
  <si>
    <t>CIMActionEvtName</t>
  </si>
  <si>
    <t>ICIMUIAction</t>
  </si>
  <si>
    <t>CIMActionEvtFunctionName</t>
  </si>
  <si>
    <t>CIMActionTooltip</t>
  </si>
  <si>
    <t>CIMActionIcon</t>
  </si>
  <si>
    <t>CIMActionIconColor</t>
  </si>
  <si>
    <t>CIMActionIconSize</t>
  </si>
  <si>
    <t>delete1To2</t>
  </si>
  <si>
    <t>delete2To1</t>
  </si>
  <si>
    <t>用户</t>
  </si>
  <si>
    <t>CIMUser</t>
  </si>
  <si>
    <t>ICIMUser,IObject,IObjectEx,ICIMOrderObject,ICIMEnabledObject,ICIMRemarkInfo,ICIMContactInfo</t>
  </si>
  <si>
    <t>备注</t>
  </si>
  <si>
    <t>CIMRemarkMsg</t>
  </si>
  <si>
    <t>ICIMRemarkInfo</t>
  </si>
  <si>
    <t>是否显示</t>
  </si>
  <si>
    <t>CIMVisible</t>
  </si>
  <si>
    <t>ICIMVisibleObj</t>
  </si>
  <si>
    <t>是否可用</t>
  </si>
  <si>
    <t>CIMEnabled</t>
  </si>
  <si>
    <t>ICIMEnabledObject</t>
  </si>
  <si>
    <t>排序</t>
  </si>
  <si>
    <t>CIMOrderValue</t>
  </si>
  <si>
    <t>ICIMOrderObject</t>
  </si>
  <si>
    <t>Email</t>
  </si>
  <si>
    <t>CIMEmail</t>
  </si>
  <si>
    <t>ICIMContactInfo</t>
  </si>
  <si>
    <t>移动电话</t>
  </si>
  <si>
    <t>CIMMobilePhone</t>
  </si>
  <si>
    <t>固定电话</t>
  </si>
  <si>
    <t>CIMTelPhone</t>
  </si>
  <si>
    <t>办公地址</t>
  </si>
  <si>
    <t>CIMOfficeAddress</t>
  </si>
  <si>
    <t>登录密码</t>
  </si>
  <si>
    <t>CIMUserPassword</t>
  </si>
  <si>
    <t>ICIMUser</t>
  </si>
  <si>
    <t>所属组织架构</t>
  </si>
  <si>
    <t>CIMUserOrganization</t>
  </si>
  <si>
    <t>组织架构唯一标识</t>
  </si>
  <si>
    <t>CIMUserOrganizationUid</t>
  </si>
  <si>
    <t>角色</t>
  </si>
  <si>
    <t>CIMRole</t>
  </si>
  <si>
    <t>ICIMRole,IObject,IObjectEx,ICIMOrderObject,ICIMRemarkInfo</t>
  </si>
  <si>
    <t>角色权限字符</t>
  </si>
  <si>
    <t>CIMRolePermissions</t>
  </si>
  <si>
    <t>ICIMRole</t>
  </si>
  <si>
    <t>访问权限组</t>
  </si>
  <si>
    <t>CIMAccessGroup</t>
  </si>
  <si>
    <t>ICIMAccessGroup,IObject,IObjectEx</t>
  </si>
  <si>
    <t>项目</t>
  </si>
  <si>
    <t>CIMPlant</t>
  </si>
  <si>
    <t>ICIMPlant,IObject,IObjectEx,ICIMPositionInfo,ICIMConfigurationItem</t>
  </si>
  <si>
    <t>经度</t>
  </si>
  <si>
    <t>CIMPOSLongitude</t>
  </si>
  <si>
    <t>ICIMPositionInfo</t>
  </si>
  <si>
    <t>纬度</t>
  </si>
  <si>
    <t>CIMPOSLatitude</t>
  </si>
  <si>
    <t>高度</t>
  </si>
  <si>
    <t>CIMPOSHeight</t>
  </si>
  <si>
    <t>组织架构</t>
  </si>
  <si>
    <t>CIMOrganization</t>
  </si>
  <si>
    <t>ICIMOrganization,IObject,IObjectEx,ICIMOrderObject,ICIMHierarchyObject,ICIMHierarchyComposition,ICIMContactInfo,ICIMRemarkInfo,ICIMCompany,ICIMDepartment</t>
  </si>
  <si>
    <t>架构类型</t>
  </si>
  <si>
    <t>CIMOrganizationType</t>
  </si>
  <si>
    <t>ICIMOrganization</t>
  </si>
  <si>
    <t>公司类别</t>
  </si>
  <si>
    <t>CIMCompanyCategory</t>
  </si>
  <si>
    <t>ICIMCompany</t>
  </si>
  <si>
    <t>部门经理</t>
  </si>
  <si>
    <t>CIMDepartmentManager</t>
  </si>
  <si>
    <t>ICIMDepartment</t>
  </si>
  <si>
    <t>菜单</t>
  </si>
  <si>
    <t>CIMGUIItem</t>
  </si>
  <si>
    <t>ICIMGUIItem,IObject,IObjectEx,ICIMOrderObject,ICIMHierarchyObject,ICIMHierarchyComposition,ICIMVisibleObj,ICIMEnabledObject</t>
  </si>
  <si>
    <t>前端组件</t>
  </si>
  <si>
    <t>CIMGuiComponentPath</t>
  </si>
  <si>
    <t>ICIMGUIItem</t>
  </si>
  <si>
    <t>访问路径</t>
  </si>
  <si>
    <t>CIMGuiRouterPath</t>
  </si>
  <si>
    <t>路由名称</t>
  </si>
  <si>
    <t>CIMGuiComponentName</t>
  </si>
  <si>
    <r>
      <rPr>
        <i/>
        <sz val="11"/>
        <color rgb="FFFFFFFF"/>
        <rFont val="宋体"/>
        <charset val="134"/>
      </rPr>
      <t>是否隐藏</t>
    </r>
    <r>
      <rPr>
        <i/>
        <sz val="11"/>
        <color rgb="FFFFFFFF"/>
        <rFont val="Aria"/>
        <charset val="134"/>
      </rPr>
      <t>Tab</t>
    </r>
  </si>
  <si>
    <t>CIMGuiIsHiddenTab</t>
  </si>
  <si>
    <t>是否缓存</t>
  </si>
  <si>
    <t>CIMGuiIsCache</t>
  </si>
  <si>
    <t>菜单类型</t>
  </si>
  <si>
    <t>CIMGuiType</t>
  </si>
  <si>
    <t>菜单权限标识</t>
  </si>
  <si>
    <t>CIMGuiPermissions</t>
  </si>
  <si>
    <t>图标</t>
  </si>
  <si>
    <t>CIMGuiIcon</t>
  </si>
  <si>
    <t>默认跳转路径</t>
  </si>
  <si>
    <t>CIMGuiRedirect</t>
  </si>
  <si>
    <t>子应用Url</t>
  </si>
  <si>
    <t>CIMGuiSubAppUrl</t>
  </si>
  <si>
    <t>是否隐藏路由</t>
  </si>
  <si>
    <t>CIMGuiIsHiddenRoute</t>
  </si>
  <si>
    <t>是否路由菜单</t>
  </si>
  <si>
    <t>CIMGuiIsRouteMenu</t>
  </si>
  <si>
    <t>是否聚合路由</t>
  </si>
  <si>
    <t>CIMGuiIsPolymerizationRoute</t>
  </si>
  <si>
    <t>是否内部打开</t>
  </si>
  <si>
    <t>CIMGuiIsInternal</t>
  </si>
  <si>
    <t>子应用名称</t>
  </si>
  <si>
    <t>CIMGuiSubAppName</t>
  </si>
  <si>
    <t>子应用路径</t>
  </si>
  <si>
    <t>CIMGuiSubAppPath</t>
  </si>
  <si>
    <t>JSON属性</t>
  </si>
  <si>
    <t>CIMGuiComponentProps</t>
  </si>
  <si>
    <t>自定义JSON属性</t>
  </si>
  <si>
    <t>CIMGuiExtend</t>
  </si>
  <si>
    <t>出现率</t>
  </si>
  <si>
    <t>CIMOccurrence</t>
  </si>
  <si>
    <t>ICIMHierarchyObject</t>
  </si>
  <si>
    <t>层级</t>
  </si>
  <si>
    <t>CIMLevel</t>
  </si>
  <si>
    <t>唯一标识层级路径</t>
  </si>
  <si>
    <t>CIMPath</t>
  </si>
  <si>
    <t>名称层级路径</t>
  </si>
  <si>
    <t>CIMNamePath</t>
  </si>
  <si>
    <t>父节点唯一标识</t>
  </si>
  <si>
    <t>CIMParentUid</t>
  </si>
  <si>
    <t>用户项目信息</t>
  </si>
  <si>
    <t>CIMAssignment</t>
  </si>
  <si>
    <t>IObjectEx,IObject,ICIMAssignment</t>
  </si>
  <si>
    <t>项目唯一标识</t>
  </si>
  <si>
    <t>CIMUserPlant</t>
  </si>
  <si>
    <t>ICIMAssignment</t>
  </si>
  <si>
    <t>是否为查询范围</t>
  </si>
  <si>
    <t>CIMUserQueryScope</t>
  </si>
  <si>
    <t>是否为创建范围</t>
  </si>
  <si>
    <t>CIMIsActive</t>
  </si>
  <si>
    <t>项目状态</t>
  </si>
  <si>
    <t>CIMConfigurationStatus</t>
  </si>
  <si>
    <t>ICIMConfigurationItem</t>
  </si>
  <si>
    <t>是否显示1</t>
  </si>
  <si>
    <t>CIMContainerSectionShow</t>
  </si>
  <si>
    <t>ICIMContainerSectionRel</t>
  </si>
  <si>
    <t>列跨距</t>
  </si>
  <si>
    <t>CIMColumnSpan</t>
  </si>
  <si>
    <t>ICIMUILayout</t>
  </si>
  <si>
    <t>CIMUISection</t>
  </si>
  <si>
    <t>IObjectEx,IObject,ICIMUISection</t>
  </si>
  <si>
    <t>组头显示</t>
  </si>
  <si>
    <t>CIMSectionGroupHeader</t>
  </si>
  <si>
    <t>ICIMUISection</t>
  </si>
  <si>
    <t>组目标</t>
  </si>
  <si>
    <t>CIMSectionPurpose</t>
  </si>
  <si>
    <t>布局</t>
  </si>
  <si>
    <t>CIMUiLayout</t>
  </si>
  <si>
    <t>布局方式</t>
  </si>
  <si>
    <t>CIMContainerLayoutMode</t>
  </si>
  <si>
    <r>
      <rPr>
        <i/>
        <sz val="12"/>
        <color rgb="FFFFFFFF"/>
        <rFont val="宋体"/>
        <charset val="134"/>
      </rPr>
      <t>开始日期</t>
    </r>
  </si>
  <si>
    <t>WorkflowStepStartDate</t>
  </si>
  <si>
    <t>ICIMWorkflowStep</t>
  </si>
  <si>
    <t>预警时长(天)</t>
  </si>
  <si>
    <t>WorkflowStepWarningTime</t>
  </si>
  <si>
    <t>委托人权限时效(天)</t>
  </si>
  <si>
    <t>WorkflowStepPrincipalPrescription</t>
  </si>
  <si>
    <r>
      <rPr>
        <i/>
        <sz val="12"/>
        <color rgb="FFFFFFFF"/>
        <rFont val="宋体"/>
        <charset val="134"/>
      </rPr>
      <t>结束日期</t>
    </r>
  </si>
  <si>
    <t>WorkflowStepEndDate</t>
  </si>
  <si>
    <r>
      <rPr>
        <i/>
        <sz val="12"/>
        <color rgb="FFFFFFFF"/>
        <rFont val="宋体"/>
        <charset val="134"/>
      </rPr>
      <t>持续时间</t>
    </r>
  </si>
  <si>
    <t>WorkflowStepDuration</t>
  </si>
  <si>
    <t>工作流模板</t>
  </si>
  <si>
    <t>CIMWorkflowTemplate</t>
  </si>
  <si>
    <t>ICIMWorkflow,ICIMWorkflowTemplate,IObject,IObjectEx,ICIMConditionComposition</t>
  </si>
  <si>
    <r>
      <rPr>
        <i/>
        <sz val="12"/>
        <color rgb="FFFFFFFF"/>
        <rFont val="汉仪书宋二KW"/>
        <charset val="134"/>
      </rPr>
      <t>步骤定义</t>
    </r>
  </si>
  <si>
    <t>CIMWorkflowStepDefinition</t>
  </si>
  <si>
    <t>IObject,IObjectEx,ICIMWorkflowStepDefinition,ICIMWorkflowStepLegend</t>
  </si>
  <si>
    <r>
      <rPr>
        <i/>
        <sz val="12"/>
        <color rgb="FFFFFFFF"/>
        <rFont val="汉仪书宋二KW"/>
        <charset val="134"/>
      </rPr>
      <t>步骤类型</t>
    </r>
  </si>
  <si>
    <t>CIMWorkflowStepClass</t>
  </si>
  <si>
    <t>IObject,IObjectEx,ICIMWorkflowStepClass</t>
  </si>
  <si>
    <r>
      <rPr>
        <i/>
        <sz val="12"/>
        <color rgb="FFFFFFFF"/>
        <rFont val="汉仪书宋二KW"/>
        <charset val="134"/>
      </rPr>
      <t>步骤状态</t>
    </r>
  </si>
  <si>
    <t>CIMWorkflowStepStatus</t>
  </si>
  <si>
    <t>IObject,IObjectEx,ICIMWorkflowStepStatus</t>
  </si>
  <si>
    <r>
      <rPr>
        <i/>
        <sz val="12"/>
        <color rgb="FFFFFFFF"/>
        <rFont val="汉仪书宋二KW"/>
        <charset val="134"/>
      </rPr>
      <t>工作流条件</t>
    </r>
  </si>
  <si>
    <t>CIMWorkflowCondition</t>
  </si>
  <si>
    <t>IObject,IObjectEx,ICIMCondition,ICIMWorkflowCondition</t>
  </si>
  <si>
    <r>
      <rPr>
        <i/>
        <sz val="12"/>
        <color rgb="FFFFFFFF"/>
        <rFont val="汉仪书宋二KW"/>
        <charset val="134"/>
      </rPr>
      <t>工作流通知类型</t>
    </r>
  </si>
  <si>
    <t>CIMWorkflowNotificationType</t>
  </si>
  <si>
    <t>IObject,IObjectEx,ICIMWorkflowNotificationType</t>
  </si>
  <si>
    <r>
      <rPr>
        <i/>
        <sz val="12"/>
        <color rgb="FFFFFFFF"/>
        <rFont val="宋体"/>
        <charset val="134"/>
      </rPr>
      <t>使用的步骤定义</t>
    </r>
  </si>
  <si>
    <t>WorkflowStepStepDef</t>
  </si>
  <si>
    <t>ForeignKeyRel</t>
  </si>
  <si>
    <t>12,WorkflowStepStepDef</t>
  </si>
  <si>
    <r>
      <rPr>
        <i/>
        <sz val="12"/>
        <color rgb="FFFFFFFF"/>
        <rFont val="汉仪书宋二KW"/>
        <charset val="134"/>
      </rPr>
      <t>步骤模板</t>
    </r>
  </si>
  <si>
    <t>CIMWorkflowStepTemplate</t>
  </si>
  <si>
    <t>IObject,IObjectEx,ICIMWorkflowStep,ICIMWorkflowStepTemplate</t>
  </si>
  <si>
    <r>
      <rPr>
        <i/>
        <sz val="12"/>
        <color rgb="FFFFFFFF"/>
        <rFont val="宋体"/>
        <charset val="134"/>
      </rPr>
      <t>模板通知类型</t>
    </r>
  </si>
  <si>
    <t>WorkflowTemplateNotificationType</t>
  </si>
  <si>
    <t>12,WorkflowTemplateNotificationType</t>
  </si>
  <si>
    <r>
      <rPr>
        <i/>
        <sz val="12"/>
        <color rgb="FFFFFFFF"/>
        <rFont val="宋体"/>
        <charset val="134"/>
      </rPr>
      <t>模板使用条件</t>
    </r>
  </si>
  <si>
    <t>WorkflowConditionCompositions</t>
  </si>
  <si>
    <t>21,WorkflowConditionCompositions</t>
  </si>
  <si>
    <r>
      <rPr>
        <i/>
        <sz val="12"/>
        <color rgb="FFFFFFFF"/>
        <rFont val="汉仪书宋二KW"/>
        <charset val="134"/>
      </rPr>
      <t>步骤定义的步骤类型</t>
    </r>
  </si>
  <si>
    <t>WorkflowStepDefStepClass</t>
  </si>
  <si>
    <t>12,WorkflowStepDefStepClass</t>
  </si>
  <si>
    <r>
      <rPr>
        <i/>
        <sz val="12"/>
        <color rgb="FFFFFFFF"/>
        <rFont val="汉仪书宋二KW"/>
        <charset val="134"/>
      </rPr>
      <t>下一步</t>
    </r>
  </si>
  <si>
    <t>WorkflowStepSuccessStep</t>
  </si>
  <si>
    <t>12,WorkflowStepSuccessStep</t>
  </si>
  <si>
    <r>
      <rPr>
        <i/>
        <sz val="12"/>
        <color rgb="FFFFFFFF"/>
        <rFont val="汉仪书宋二KW"/>
        <charset val="134"/>
      </rPr>
      <t>上一步</t>
    </r>
  </si>
  <si>
    <t>WorkflowStepFailureStep</t>
  </si>
  <si>
    <t>12,WorkflowStepFailureStep</t>
  </si>
  <si>
    <t>步骤通过状态</t>
  </si>
  <si>
    <t>WorkflowStepSuccessStatus</t>
  </si>
  <si>
    <t>12,WorkflowStepSuccessStatus</t>
  </si>
  <si>
    <t>步骤驳回状态</t>
  </si>
  <si>
    <t>WorkflowStepFailureStatus</t>
  </si>
  <si>
    <t>12,WorkflowStepFailureStatus</t>
  </si>
  <si>
    <r>
      <rPr>
        <i/>
        <sz val="12"/>
        <color rgb="FFFFFFFF"/>
        <rFont val="汉仪书宋二KW"/>
        <charset val="134"/>
      </rPr>
      <t>方法</t>
    </r>
    <r>
      <rPr>
        <i/>
        <sz val="12"/>
        <color rgb="FFFFFFFF"/>
        <rFont val="Arial"/>
        <charset val="134"/>
      </rPr>
      <t>(</t>
    </r>
    <r>
      <rPr>
        <i/>
        <sz val="12"/>
        <color rgb="FFFFFFFF"/>
        <rFont val="汉仪书宋二KW"/>
        <charset val="134"/>
      </rPr>
      <t>工作流</t>
    </r>
    <r>
      <rPr>
        <i/>
        <sz val="12"/>
        <color rgb="FFFFFFFF"/>
        <rFont val="Arial"/>
        <charset val="134"/>
      </rPr>
      <t>)</t>
    </r>
  </si>
  <si>
    <t>CIMMethod</t>
  </si>
  <si>
    <t>IObject,IObjectEx,ICIMMethod,ICIMWorkflowMethod</t>
  </si>
  <si>
    <t>步骤接受者</t>
  </si>
  <si>
    <t>CIMWorkflowStepRecipient</t>
  </si>
  <si>
    <t>IObject,IObjectEx,ICIMWorkflowStepRecipient</t>
  </si>
  <si>
    <t>抽象用户</t>
  </si>
  <si>
    <t>CIMAbstractUser</t>
  </si>
  <si>
    <t>IObject,IObjectEx,ICIMUser,ICIMAbstractUser,ICIMParticipant</t>
  </si>
  <si>
    <t>步骤参与者</t>
  </si>
  <si>
    <t>WorkflowStepRecipientParticipant</t>
  </si>
  <si>
    <t>12,WorkflowStepRecipientParticipant</t>
  </si>
  <si>
    <r>
      <rPr>
        <i/>
        <sz val="12"/>
        <color rgb="FFFFFFFF"/>
        <rFont val="宋体"/>
        <charset val="134"/>
      </rPr>
      <t>条件表达式</t>
    </r>
  </si>
  <si>
    <t>CIMConditionDefn</t>
  </si>
  <si>
    <t>ICIMCondition</t>
  </si>
  <si>
    <r>
      <rPr>
        <i/>
        <sz val="12"/>
        <color rgb="FFFFFFFF"/>
        <rFont val="宋体"/>
        <charset val="134"/>
      </rPr>
      <t>步骤处理器</t>
    </r>
  </si>
  <si>
    <t>WorkflowStepDefProcessHandler</t>
  </si>
  <si>
    <t>ICIMWorkflowStepDefinition</t>
  </si>
  <si>
    <t>顺序</t>
  </si>
  <si>
    <t>前端模板信息</t>
  </si>
  <si>
    <t>TemplateFrontInfo</t>
  </si>
  <si>
    <t>ICIMWorkflowTemplate</t>
  </si>
  <si>
    <t>请求远程路径</t>
  </si>
  <si>
    <t>CIMMethodRoutePath</t>
  </si>
  <si>
    <t>ICIMMethod</t>
  </si>
  <si>
    <t>参数</t>
  </si>
  <si>
    <t>CIMMethodParam</t>
  </si>
  <si>
    <t>执行的类路径</t>
  </si>
  <si>
    <t>CIMMethodHandlerClass</t>
  </si>
  <si>
    <t>按钮显示名</t>
  </si>
  <si>
    <t>CIMMethodBtnTitle</t>
  </si>
  <si>
    <t>按钮颜色</t>
  </si>
  <si>
    <t>CIMMethodBtnColor</t>
  </si>
  <si>
    <t>按钮样式</t>
  </si>
  <si>
    <t>CIMMethodBtnStyleClass</t>
  </si>
  <si>
    <t>按钮图标</t>
  </si>
  <si>
    <t>CIMMethodBtnIcon</t>
  </si>
  <si>
    <t>流程等级</t>
  </si>
  <si>
    <t>WorkflowImportance</t>
  </si>
  <si>
    <t>ICIMWorkflow</t>
  </si>
  <si>
    <t>步骤图例的文字颜色</t>
  </si>
  <si>
    <t>WorkflowStepLegendTextColor</t>
  </si>
  <si>
    <t>ICIMWorkflowStepLegend</t>
  </si>
  <si>
    <t>步骤图例的图标</t>
  </si>
  <si>
    <t>WorkflowStepLegendIcon</t>
  </si>
  <si>
    <t>步骤图例的标题</t>
  </si>
  <si>
    <t>WorkflowStepLegendTitle</t>
  </si>
  <si>
    <t>步骤图例的背景色</t>
  </si>
  <si>
    <t>WorkflowStepLegendBackgroundColor</t>
  </si>
  <si>
    <t>默认值</t>
  </si>
  <si>
    <t>CIMFormItemRelDefaultValue</t>
  </si>
  <si>
    <t>前端步骤唯一标识码</t>
  </si>
  <si>
    <t>FrontStepId</t>
  </si>
  <si>
    <t>ICIMWorkflowStepTemplate</t>
  </si>
  <si>
    <t>步骤定义允许的最大连线数</t>
  </si>
  <si>
    <t>WorkflowStepDefMaxAllowLine</t>
  </si>
  <si>
    <t>流程分类</t>
  </si>
  <si>
    <t>CIMWorkflowCategory</t>
  </si>
  <si>
    <t>IObject,IObjectEx,ICIMOrderObject,ICIMHierarchyObject,ICIMHierarchyComposition,ICIMWorkflowCategory</t>
  </si>
  <si>
    <t>StepClassExecutionMode</t>
  </si>
  <si>
    <t>ICIMWorkflowStepClass</t>
  </si>
  <si>
    <r>
      <rPr>
        <sz val="11"/>
        <color rgb="FFFFFFFF"/>
        <rFont val="Arial"/>
        <charset val="134"/>
      </rPr>
      <t>CIM</t>
    </r>
    <r>
      <rPr>
        <sz val="11"/>
        <color rgb="FFFFFFFF"/>
        <rFont val="宋体"/>
        <charset val="134"/>
      </rPr>
      <t>模板</t>
    </r>
  </si>
  <si>
    <t>ICIMWorkflowFlowPart</t>
  </si>
  <si>
    <r>
      <rPr>
        <sz val="11"/>
        <color rgb="FF000000"/>
        <rFont val="宋体"/>
        <charset val="134"/>
      </rPr>
      <t>流程中实际的流程组块，用于上下流转的</t>
    </r>
  </si>
  <si>
    <t>1.0</t>
  </si>
  <si>
    <t>0.1</t>
  </si>
  <si>
    <t>CIM.WORKFLOW</t>
  </si>
  <si>
    <t>*</t>
  </si>
  <si>
    <r>
      <rPr>
        <sz val="11"/>
        <rFont val="宋体"/>
        <charset val="134"/>
      </rPr>
      <t>工作流</t>
    </r>
  </si>
  <si>
    <r>
      <rPr>
        <sz val="11"/>
        <rFont val="宋体"/>
        <charset val="134"/>
      </rPr>
      <t>工作流模板</t>
    </r>
  </si>
  <si>
    <t>ICIMWorkflowObject</t>
  </si>
  <si>
    <r>
      <rPr>
        <sz val="11"/>
        <color theme="1"/>
        <rFont val="宋体"/>
        <charset val="134"/>
      </rPr>
      <t>工作流实例</t>
    </r>
  </si>
  <si>
    <t>ICIMWorkflowCondition</t>
  </si>
  <si>
    <r>
      <rPr>
        <sz val="11"/>
        <rFont val="宋体"/>
        <charset val="134"/>
      </rPr>
      <t>工作流条件</t>
    </r>
  </si>
  <si>
    <t>ICIMWorkflowNotificationType</t>
  </si>
  <si>
    <r>
      <rPr>
        <sz val="11"/>
        <rFont val="宋体"/>
        <charset val="134"/>
      </rPr>
      <t>工作流提醒类型</t>
    </r>
  </si>
  <si>
    <t>ICIMWorkflowItem</t>
  </si>
  <si>
    <r>
      <rPr>
        <sz val="11"/>
        <rFont val="宋体"/>
        <charset val="134"/>
      </rPr>
      <t>工作项</t>
    </r>
  </si>
  <si>
    <r>
      <rPr>
        <sz val="11"/>
        <rFont val="宋体"/>
        <charset val="134"/>
      </rPr>
      <t>工作流步骤</t>
    </r>
  </si>
  <si>
    <r>
      <rPr>
        <sz val="11"/>
        <rFont val="宋体"/>
        <charset val="134"/>
      </rPr>
      <t>工作流模板步骤</t>
    </r>
  </si>
  <si>
    <t>ICIMWorkflowStepObject</t>
  </si>
  <si>
    <r>
      <rPr>
        <sz val="11"/>
        <rFont val="宋体"/>
        <charset val="134"/>
      </rPr>
      <t>工作流步骤实例</t>
    </r>
  </si>
  <si>
    <r>
      <rPr>
        <sz val="11"/>
        <rFont val="宋体"/>
        <charset val="134"/>
      </rPr>
      <t>工作流步骤分类</t>
    </r>
  </si>
  <si>
    <r>
      <rPr>
        <sz val="11"/>
        <rFont val="宋体"/>
        <charset val="134"/>
      </rPr>
      <t>工作流步骤定义</t>
    </r>
  </si>
  <si>
    <t>ICIMWorkflowStepStatus</t>
  </si>
  <si>
    <r>
      <rPr>
        <sz val="11"/>
        <rFont val="宋体"/>
        <charset val="134"/>
      </rPr>
      <t>工作流步骤状态</t>
    </r>
  </si>
  <si>
    <t>ICIMWorkflowStepCheckList</t>
  </si>
  <si>
    <r>
      <rPr>
        <sz val="11"/>
        <rFont val="宋体"/>
        <charset val="134"/>
      </rPr>
      <t>工作流步骤检查列表</t>
    </r>
  </si>
  <si>
    <t>ICIMWorkflowStepCheckListObject</t>
  </si>
  <si>
    <r>
      <rPr>
        <sz val="11"/>
        <rFont val="宋体"/>
        <charset val="134"/>
      </rPr>
      <t>工作流步骤检查列表实例</t>
    </r>
  </si>
  <si>
    <t>ICIMWorkflowStepCheckListTemplate</t>
  </si>
  <si>
    <r>
      <rPr>
        <sz val="11"/>
        <rFont val="宋体"/>
        <charset val="134"/>
      </rPr>
      <t>工作流步骤检查列表模板</t>
    </r>
  </si>
  <si>
    <t>ICIMWorkflowStepCheckListItem</t>
  </si>
  <si>
    <r>
      <rPr>
        <sz val="11"/>
        <rFont val="宋体"/>
        <charset val="134"/>
      </rPr>
      <t>工作流步骤检查项</t>
    </r>
  </si>
  <si>
    <t>ICIMWorkflowStepParticipant</t>
  </si>
  <si>
    <r>
      <rPr>
        <sz val="11"/>
        <rFont val="宋体"/>
        <charset val="134"/>
      </rPr>
      <t>工作流步骤参与者</t>
    </r>
  </si>
  <si>
    <t>ICIMWorkflowMethod</t>
  </si>
  <si>
    <r>
      <rPr>
        <sz val="11"/>
        <rFont val="宋体"/>
        <charset val="134"/>
      </rPr>
      <t>工作流步骤方法</t>
    </r>
  </si>
  <si>
    <t>ICIMWorkflowInbox</t>
  </si>
  <si>
    <r>
      <rPr>
        <sz val="11"/>
        <rFont val="宋体"/>
        <charset val="134"/>
      </rPr>
      <t>工作流收件箱</t>
    </r>
  </si>
  <si>
    <t>ICIMWorkflowInboxMessage</t>
  </si>
  <si>
    <r>
      <rPr>
        <sz val="11"/>
        <color rgb="FF000000"/>
        <rFont val="汉仪书宋二KW"/>
        <charset val="134"/>
      </rPr>
      <t>工作流收件箱信息</t>
    </r>
  </si>
  <si>
    <r>
      <rPr>
        <sz val="11"/>
        <color rgb="FF000000"/>
        <rFont val="汉仪书宋二KW"/>
        <charset val="134"/>
      </rPr>
      <t>工作流步骤图例</t>
    </r>
  </si>
  <si>
    <t>ICIMWorkflowCategory</t>
  </si>
  <si>
    <r>
      <rPr>
        <sz val="11"/>
        <color rgb="FF000000"/>
        <rFont val="汉仪书宋二KW"/>
        <charset val="134"/>
      </rPr>
      <t>工作流分类</t>
    </r>
  </si>
  <si>
    <t>ICIMWorkflowStepContinuesStepRel</t>
  </si>
  <si>
    <r>
      <rPr>
        <sz val="11"/>
        <color rgb="FF000000"/>
        <rFont val="宋体"/>
        <charset val="134"/>
      </rPr>
      <t>工作流步骤的关系</t>
    </r>
  </si>
  <si>
    <t>ICIMWorkflowStepGroupRecipient</t>
  </si>
  <si>
    <r>
      <rPr>
        <sz val="11"/>
        <color rgb="FF000000"/>
        <rFont val="宋体"/>
        <charset val="134"/>
      </rPr>
      <t>组心态流程参与者</t>
    </r>
  </si>
  <si>
    <t>ICIMWorkflowStepRecipient</t>
  </si>
  <si>
    <t>步骤参与人代理</t>
  </si>
  <si>
    <t>ICIMParticipant</t>
  </si>
  <si>
    <t>ICIMInbox</t>
  </si>
  <si>
    <t>ICIMInboxMessage</t>
  </si>
  <si>
    <t>ICIMRecipient</t>
  </si>
  <si>
    <r>
      <rPr>
        <sz val="9"/>
        <color rgb="FFFFFFFF"/>
        <rFont val="Arial"/>
        <charset val="134"/>
      </rPr>
      <t>CIM</t>
    </r>
    <r>
      <rPr>
        <sz val="9"/>
        <color rgb="FFFFFFFF"/>
        <rFont val="宋体"/>
        <charset val="134"/>
      </rPr>
      <t>模板</t>
    </r>
  </si>
  <si>
    <t>WorkflowStatus</t>
  </si>
  <si>
    <t>工作流状态</t>
  </si>
  <si>
    <t>3000</t>
  </si>
  <si>
    <t>Ready</t>
  </si>
  <si>
    <t>准备</t>
  </si>
  <si>
    <t>3010</t>
  </si>
  <si>
    <t>Working</t>
  </si>
  <si>
    <t>流程中</t>
  </si>
  <si>
    <t>3020</t>
  </si>
  <si>
    <t>Completed</t>
  </si>
  <si>
    <t>完成</t>
  </si>
  <si>
    <t>3030</t>
  </si>
  <si>
    <t>Error</t>
  </si>
  <si>
    <t>错误</t>
  </si>
  <si>
    <t>3040</t>
  </si>
  <si>
    <t>NotificationType</t>
  </si>
  <si>
    <t>提醒类型</t>
  </si>
  <si>
    <t>4000</t>
  </si>
  <si>
    <t>All</t>
  </si>
  <si>
    <t>所有类型</t>
  </si>
  <si>
    <t>4001</t>
  </si>
  <si>
    <t>E-mail</t>
  </si>
  <si>
    <t>邮件</t>
  </si>
  <si>
    <t>4002</t>
  </si>
  <si>
    <t>Message</t>
  </si>
  <si>
    <t>短信通知</t>
  </si>
  <si>
    <t>4003</t>
  </si>
  <si>
    <t>Mail</t>
  </si>
  <si>
    <t>站内信</t>
  </si>
  <si>
    <t>4004</t>
  </si>
  <si>
    <t>WorkflowStepStatus</t>
  </si>
  <si>
    <t>工作流步骤状态</t>
  </si>
  <si>
    <t>5000</t>
  </si>
  <si>
    <t>Init</t>
  </si>
  <si>
    <t>初始化</t>
  </si>
  <si>
    <t>5001</t>
  </si>
  <si>
    <t>等待处理</t>
  </si>
  <si>
    <t>处理中</t>
  </si>
  <si>
    <t>5002</t>
  </si>
  <si>
    <t>Reject</t>
  </si>
  <si>
    <t>驳回</t>
  </si>
  <si>
    <t>5003</t>
  </si>
  <si>
    <t>Pass</t>
  </si>
  <si>
    <t>通过</t>
  </si>
  <si>
    <t>5004</t>
  </si>
  <si>
    <t>Skip</t>
  </si>
  <si>
    <t>跳过（系统自动处理）</t>
  </si>
  <si>
    <t>5005</t>
  </si>
  <si>
    <t>5100</t>
  </si>
  <si>
    <t>General</t>
  </si>
  <si>
    <t>一般</t>
  </si>
  <si>
    <t>5101</t>
  </si>
  <si>
    <t>Important</t>
  </si>
  <si>
    <t>重要</t>
  </si>
  <si>
    <t>5102</t>
  </si>
  <si>
    <t>Urgent</t>
  </si>
  <si>
    <t>紧急</t>
  </si>
  <si>
    <t>5103</t>
  </si>
  <si>
    <t>WorkflowStepOperationMode</t>
  </si>
  <si>
    <t>步骤认领模式</t>
  </si>
  <si>
    <t>5200</t>
  </si>
  <si>
    <t>oneUserPerRole</t>
  </si>
  <si>
    <t>每个角色仅需一人处理，多个角色存在则必须多个角色都需要处理</t>
  </si>
  <si>
    <t>每个角色仅需一人处理</t>
  </si>
  <si>
    <t>5201</t>
  </si>
  <si>
    <t>anyoneUser</t>
  </si>
  <si>
    <t>任意一个人处理即可</t>
  </si>
  <si>
    <t>5202</t>
  </si>
  <si>
    <t>oneUserPerGroup</t>
  </si>
  <si>
    <t>每个分组仅需一人处理，多个组存在则必须多个组都需要处理</t>
  </si>
  <si>
    <t>每个分组仅需一人处理</t>
  </si>
  <si>
    <t>5203</t>
  </si>
  <si>
    <t>allUsers</t>
  </si>
  <si>
    <t>所有人都必须处理</t>
  </si>
  <si>
    <t>5204</t>
  </si>
  <si>
    <t>StepClassOperationMode</t>
  </si>
  <si>
    <t>步骤类型的处理方式</t>
  </si>
  <si>
    <t>5300</t>
  </si>
  <si>
    <t>Manually</t>
  </si>
  <si>
    <t>人工处理</t>
  </si>
  <si>
    <t>5301</t>
  </si>
  <si>
    <t>Automatically</t>
  </si>
  <si>
    <t>自动处理</t>
  </si>
  <si>
    <t>5302</t>
  </si>
  <si>
    <t>ELT_WorkflowStatus</t>
  </si>
  <si>
    <t>ELT_Ready_WorkflowStatus</t>
  </si>
  <si>
    <t>ELT_Working_WorkflowStatus</t>
  </si>
  <si>
    <t>ELT_Completed_WorkflowStatus</t>
  </si>
  <si>
    <t>ELT_Error_WorkflowStatus</t>
  </si>
  <si>
    <t>ELT_NotificationType</t>
  </si>
  <si>
    <t>ELT_All_NotificationType</t>
  </si>
  <si>
    <t>10</t>
  </si>
  <si>
    <t>ELT_E-mail_NotificationType</t>
  </si>
  <si>
    <t>20</t>
  </si>
  <si>
    <t>ELT_Message_NotificationType</t>
  </si>
  <si>
    <t>30</t>
  </si>
  <si>
    <t>ELT_Mail_NotificationType</t>
  </si>
  <si>
    <t>40</t>
  </si>
  <si>
    <t>ELT_WorkflowStepStatus</t>
  </si>
  <si>
    <t>ELT_Init_WorkflowStepStatus</t>
  </si>
  <si>
    <t>ELT_Ready_WorkflowStepStatus</t>
  </si>
  <si>
    <t>ELT_Reject_WorkflowStepStatus</t>
  </si>
  <si>
    <t>ELT_Pass_WorkflowStepStatus</t>
  </si>
  <si>
    <t>ELT_Skip_WorkflowStepStatus</t>
  </si>
  <si>
    <t>50</t>
  </si>
  <si>
    <t>ELT_WorkflowImportance</t>
  </si>
  <si>
    <t>ELT_General_WorkflowImportance</t>
  </si>
  <si>
    <t>ELT_Important_WorkflowImportance</t>
  </si>
  <si>
    <t>ELT_Urgent_WorkflowImportance</t>
  </si>
  <si>
    <t>ELT_WorkflowStepOperationMode</t>
  </si>
  <si>
    <t>ELT_oneUserPerRole_WorkflowStepOperationMode</t>
  </si>
  <si>
    <t>ELT_anyoneUser_WorkflowStepOperationMode</t>
  </si>
  <si>
    <t>ELT_oneUserPerGroup_WorkflowStepOperationMode</t>
  </si>
  <si>
    <t>ELT_allUsers_WorkflowStepOperationMode</t>
  </si>
  <si>
    <t>ELT_StepClassOperationMode</t>
  </si>
  <si>
    <t>ELT_Manually_StepClassOperationMode</t>
  </si>
  <si>
    <t>ELT_Automatically_StepClassOperationMode</t>
  </si>
  <si>
    <r>
      <rPr>
        <sz val="8"/>
        <color rgb="FFFFFFFF"/>
        <rFont val="Arial"/>
        <charset val="134"/>
      </rPr>
      <t>CIM</t>
    </r>
    <r>
      <rPr>
        <sz val="8"/>
        <color rgb="FFFFFFFF"/>
        <rFont val="黑体"/>
        <charset val="134"/>
      </rPr>
      <t>模板</t>
    </r>
  </si>
  <si>
    <t>计划持续时间</t>
  </si>
  <si>
    <t>Integer</t>
  </si>
  <si>
    <t>预警时间</t>
  </si>
  <si>
    <t>Double</t>
  </si>
  <si>
    <t>委托人权限时效</t>
  </si>
  <si>
    <t>步骤处理模式</t>
  </si>
  <si>
    <t>EnumList</t>
  </si>
  <si>
    <t>WorkflowProportion</t>
  </si>
  <si>
    <t>步骤权重</t>
  </si>
  <si>
    <t>WorkflowStepRemark</t>
  </si>
  <si>
    <t>备注说明</t>
  </si>
  <si>
    <t>String</t>
  </si>
  <si>
    <t>开始日期</t>
  </si>
  <si>
    <t>DateTime</t>
  </si>
  <si>
    <t>结束日期</t>
  </si>
  <si>
    <t>WorkflowStepActualDuration</t>
  </si>
  <si>
    <t>实际持续时间</t>
  </si>
  <si>
    <t>状态</t>
  </si>
  <si>
    <t>处理器</t>
  </si>
  <si>
    <t>步骤定义允许的最大连接线</t>
  </si>
  <si>
    <t>WorkflowItemStatus</t>
  </si>
  <si>
    <t>WorkflowItemActiveWorkflowCount</t>
  </si>
  <si>
    <t>活动工作流的个数</t>
  </si>
  <si>
    <t>WorkflowItemWorkflowTotalCount</t>
  </si>
  <si>
    <t>工作流总数</t>
  </si>
  <si>
    <t>WorkflowMessage</t>
  </si>
  <si>
    <t>过程信息</t>
  </si>
  <si>
    <t>WorkflowRemark</t>
  </si>
  <si>
    <t>备注信息</t>
  </si>
  <si>
    <t>WorkflowErrorMsg</t>
  </si>
  <si>
    <t>错误信息</t>
  </si>
  <si>
    <t>WorkflowDetailStatus</t>
  </si>
  <si>
    <t>详细状态</t>
  </si>
  <si>
    <t>LongText</t>
  </si>
  <si>
    <t>EffectiveInterface</t>
  </si>
  <si>
    <t>生效的接口信息</t>
  </si>
  <si>
    <t>前端步骤id</t>
  </si>
  <si>
    <t>WorkflowStepMsgFromPreviousStep</t>
  </si>
  <si>
    <t>上一步消息</t>
  </si>
  <si>
    <t>WorkflowStepMsgToNextStep</t>
  </si>
  <si>
    <t>给下一步的消息</t>
  </si>
  <si>
    <t>WorkflowStepComments</t>
  </si>
  <si>
    <t>评论</t>
  </si>
  <si>
    <t>RichText</t>
  </si>
  <si>
    <t>WorkflowStepClaimedInd</t>
  </si>
  <si>
    <t>是否认领</t>
  </si>
  <si>
    <t>WorkflowStepGroupAssignInd</t>
  </si>
  <si>
    <t>组参与标识</t>
  </si>
  <si>
    <t>WorkflowStepParallelExpansionInd</t>
  </si>
  <si>
    <t>并行标识</t>
  </si>
  <si>
    <t>WorkflowOnHoldInd</t>
  </si>
  <si>
    <t>暂停标识</t>
  </si>
  <si>
    <t>WorkflowRev</t>
  </si>
  <si>
    <t>工作流版本</t>
  </si>
  <si>
    <t>WorkflowStepAcceptPercentage</t>
  </si>
  <si>
    <t>步骤通过百分比</t>
  </si>
  <si>
    <t>WorkflowStepRejectPercentage</t>
  </si>
  <si>
    <t>步骤拒绝百分比</t>
  </si>
  <si>
    <t>WorkflowPercentage</t>
  </si>
  <si>
    <t>工作流完成百分比</t>
  </si>
  <si>
    <t>End1WorkflowObjectStepStatus</t>
  </si>
  <si>
    <t>工作流步骤处理状态</t>
  </si>
  <si>
    <t>WorkflowStepParallelMode</t>
  </si>
  <si>
    <t>并行步骤的模式</t>
  </si>
  <si>
    <t>WorkflowStepOnHoldInd</t>
  </si>
  <si>
    <t>工作步骤挂起标识</t>
  </si>
  <si>
    <t>WorkflowRecipientGroupInd</t>
  </si>
  <si>
    <t>参与人组标识</t>
  </si>
  <si>
    <t>WorkflowRecipientEffectParticipantInfo</t>
  </si>
  <si>
    <t>当前生效的参与人信息</t>
  </si>
  <si>
    <t>WorkflowStepCurrentParticipantInfo</t>
  </si>
  <si>
    <t>流程步骤当前的参与人信息</t>
  </si>
  <si>
    <t>WorkflowPartGroupInd</t>
  </si>
  <si>
    <t>流程块所属组信息</t>
  </si>
  <si>
    <t>步骤定义的执行方式</t>
  </si>
  <si>
    <t xml:space="preserve"> </t>
  </si>
  <si>
    <t>WorkflowNotificationType</t>
  </si>
  <si>
    <r>
      <rPr>
        <sz val="9"/>
        <color theme="1"/>
        <rFont val="宋体"/>
        <charset val="134"/>
      </rPr>
      <t>通知类型</t>
    </r>
  </si>
  <si>
    <t>cim_rel_wft</t>
  </si>
  <si>
    <t>Not</t>
  </si>
  <si>
    <r>
      <rPr>
        <sz val="9"/>
        <color theme="1"/>
        <rFont val="宋体"/>
        <charset val="134"/>
      </rPr>
      <t>工作流模板</t>
    </r>
  </si>
  <si>
    <r>
      <rPr>
        <sz val="9"/>
        <color theme="1"/>
        <rFont val="宋体"/>
        <charset val="134"/>
      </rPr>
      <t>工作流提醒类型</t>
    </r>
  </si>
  <si>
    <r>
      <rPr>
        <sz val="9"/>
        <color theme="1"/>
        <rFont val="宋体"/>
        <charset val="134"/>
      </rPr>
      <t>模板条件</t>
    </r>
  </si>
  <si>
    <t>ICIMConditionComposition</t>
  </si>
  <si>
    <r>
      <rPr>
        <sz val="9"/>
        <color theme="1"/>
        <rFont val="宋体"/>
        <charset val="134"/>
      </rPr>
      <t>工作流条件</t>
    </r>
  </si>
  <si>
    <t>WorkflowSteps</t>
  </si>
  <si>
    <r>
      <rPr>
        <sz val="9"/>
        <color theme="1"/>
        <rFont val="宋体"/>
        <charset val="134"/>
      </rPr>
      <t>模板步骤</t>
    </r>
  </si>
  <si>
    <t>cim_rel_wfs</t>
  </si>
  <si>
    <r>
      <rPr>
        <sz val="9"/>
        <color theme="1"/>
        <rFont val="宋体"/>
        <charset val="134"/>
      </rPr>
      <t>工作流</t>
    </r>
  </si>
  <si>
    <r>
      <rPr>
        <sz val="9"/>
        <color rgb="FF000000"/>
        <rFont val="宋体"/>
        <charset val="134"/>
      </rPr>
      <t>流程块</t>
    </r>
  </si>
  <si>
    <t>WorkflowStepChecklist</t>
  </si>
  <si>
    <r>
      <rPr>
        <sz val="9"/>
        <color theme="1"/>
        <rFont val="宋体"/>
        <charset val="134"/>
      </rPr>
      <t>步骤检查列表</t>
    </r>
  </si>
  <si>
    <t>cim_rel_wfs_check</t>
  </si>
  <si>
    <r>
      <rPr>
        <sz val="9"/>
        <color theme="1"/>
        <rFont val="宋体"/>
        <charset val="134"/>
      </rPr>
      <t>工作流步骤</t>
    </r>
  </si>
  <si>
    <r>
      <rPr>
        <sz val="9"/>
        <color theme="1"/>
        <rFont val="宋体"/>
        <charset val="134"/>
      </rPr>
      <t>工作流检查列表</t>
    </r>
  </si>
  <si>
    <t>WorkflowStepChecklistItems</t>
  </si>
  <si>
    <r>
      <rPr>
        <sz val="9"/>
        <color theme="1"/>
        <rFont val="宋体"/>
        <charset val="134"/>
      </rPr>
      <t>检查具体项</t>
    </r>
  </si>
  <si>
    <r>
      <rPr>
        <sz val="9"/>
        <color theme="1"/>
        <rFont val="宋体"/>
        <charset val="134"/>
      </rPr>
      <t>检查事项</t>
    </r>
  </si>
  <si>
    <r>
      <rPr>
        <sz val="9"/>
        <color theme="1"/>
        <rFont val="宋体"/>
        <charset val="134"/>
      </rPr>
      <t>具体事项条目</t>
    </r>
  </si>
  <si>
    <t>WorkflowStepStepRecipients</t>
  </si>
  <si>
    <r>
      <rPr>
        <sz val="9"/>
        <color rgb="FF000000"/>
        <rFont val="宋体"/>
        <charset val="134"/>
      </rPr>
      <t>步骤参与人</t>
    </r>
  </si>
  <si>
    <t>cim_rel_wfs_recipient</t>
  </si>
  <si>
    <r>
      <rPr>
        <sz val="9"/>
        <color theme="1"/>
        <rFont val="宋体"/>
        <charset val="134"/>
      </rPr>
      <t>工作流步骤接受者</t>
    </r>
  </si>
  <si>
    <r>
      <rPr>
        <sz val="9"/>
        <color theme="1"/>
        <rFont val="宋体"/>
        <charset val="134"/>
      </rPr>
      <t>步骤使用的定义</t>
    </r>
  </si>
  <si>
    <r>
      <rPr>
        <sz val="9"/>
        <color theme="1"/>
        <rFont val="宋体"/>
        <charset val="134"/>
      </rPr>
      <t>步骤定义</t>
    </r>
  </si>
  <si>
    <r>
      <rPr>
        <sz val="9"/>
        <color theme="1"/>
        <rFont val="宋体"/>
        <charset val="134"/>
      </rPr>
      <t>步骤类型</t>
    </r>
  </si>
  <si>
    <t>cim_rel_wfs_def_class</t>
  </si>
  <si>
    <r>
      <rPr>
        <sz val="9"/>
        <color theme="1"/>
        <rFont val="宋体"/>
        <charset val="134"/>
      </rPr>
      <t>同意步骤</t>
    </r>
  </si>
  <si>
    <r>
      <rPr>
        <sz val="9"/>
        <color theme="1"/>
        <rFont val="宋体"/>
        <charset val="134"/>
      </rPr>
      <t>拒绝步骤</t>
    </r>
  </si>
  <si>
    <r>
      <rPr>
        <sz val="9"/>
        <color theme="1"/>
        <rFont val="宋体"/>
        <charset val="134"/>
      </rPr>
      <t>步骤执行成功状态</t>
    </r>
  </si>
  <si>
    <t>cim_rel_wfs_status</t>
  </si>
  <si>
    <r>
      <rPr>
        <sz val="9"/>
        <color theme="1"/>
        <rFont val="宋体"/>
        <charset val="134"/>
      </rPr>
      <t>步骤状态</t>
    </r>
  </si>
  <si>
    <r>
      <rPr>
        <sz val="9"/>
        <color theme="1"/>
        <rFont val="宋体"/>
        <charset val="134"/>
      </rPr>
      <t>步骤执行失败状态</t>
    </r>
  </si>
  <si>
    <t>WorkflowWorkflowTemplate</t>
  </si>
  <si>
    <r>
      <rPr>
        <sz val="9"/>
        <color theme="1"/>
        <rFont val="宋体"/>
        <charset val="134"/>
      </rPr>
      <t>工作流实例依托的模板</t>
    </r>
  </si>
  <si>
    <t>cim_rel_obj_wf</t>
  </si>
  <si>
    <r>
      <rPr>
        <sz val="9"/>
        <color theme="1"/>
        <rFont val="宋体"/>
        <charset val="134"/>
      </rPr>
      <t>工作流实例</t>
    </r>
  </si>
  <si>
    <t>WorkflowFirstStep</t>
  </si>
  <si>
    <r>
      <rPr>
        <sz val="9"/>
        <color rgb="FF000000"/>
        <rFont val="宋体"/>
        <charset val="134"/>
      </rPr>
      <t>第一个步骤</t>
    </r>
  </si>
  <si>
    <t>cim_rel_wf</t>
  </si>
  <si>
    <t>WorkflowStepDefMethod</t>
  </si>
  <si>
    <r>
      <rPr>
        <sz val="9"/>
        <color rgb="FF000000"/>
        <rFont val="宋体"/>
        <charset val="134"/>
      </rPr>
      <t>步骤定义方法</t>
    </r>
  </si>
  <si>
    <t>cim_rel_wfs_def_method</t>
  </si>
  <si>
    <r>
      <rPr>
        <sz val="9"/>
        <color rgb="FF000000"/>
        <rFont val="宋体"/>
        <charset val="134"/>
      </rPr>
      <t>步骤定义</t>
    </r>
  </si>
  <si>
    <r>
      <rPr>
        <sz val="9"/>
        <color rgb="FF000000"/>
        <rFont val="宋体"/>
        <charset val="134"/>
      </rPr>
      <t>方法</t>
    </r>
  </si>
  <si>
    <t>WorkflowItemWorkflow</t>
  </si>
  <si>
    <r>
      <rPr>
        <sz val="9"/>
        <color rgb="FF000000"/>
        <rFont val="宋体"/>
        <charset val="134"/>
      </rPr>
      <t>工作项获取工作流对象</t>
    </r>
  </si>
  <si>
    <t>cim_rel_wf_item</t>
  </si>
  <si>
    <r>
      <rPr>
        <sz val="9"/>
        <color rgb="FF000000"/>
        <rFont val="宋体"/>
        <charset val="134"/>
      </rPr>
      <t>工作项</t>
    </r>
  </si>
  <si>
    <r>
      <rPr>
        <sz val="9"/>
        <color rgb="FF000000"/>
        <rFont val="宋体"/>
        <charset val="134"/>
      </rPr>
      <t>工作流实例</t>
    </r>
  </si>
  <si>
    <t>#</t>
  </si>
  <si>
    <t>WorkflowStepParticipantsUser</t>
  </si>
  <si>
    <r>
      <rPr>
        <strike/>
        <sz val="9"/>
        <color rgb="FF000000"/>
        <rFont val="宋体"/>
        <charset val="134"/>
      </rPr>
      <t>接收者收件人</t>
    </r>
  </si>
  <si>
    <t>cim_rel_workflow</t>
  </si>
  <si>
    <r>
      <rPr>
        <strike/>
        <sz val="9"/>
        <color theme="1"/>
        <rFont val="宋体"/>
        <charset val="134"/>
      </rPr>
      <t>工作流步骤接受者</t>
    </r>
  </si>
  <si>
    <r>
      <rPr>
        <strike/>
        <sz val="9"/>
        <color rgb="FF000000"/>
        <rFont val="宋体"/>
        <charset val="134"/>
      </rPr>
      <t>用户</t>
    </r>
  </si>
  <si>
    <t>WorkflowStepParticipantsRole</t>
  </si>
  <si>
    <r>
      <rPr>
        <strike/>
        <sz val="9"/>
        <color rgb="FF000000"/>
        <rFont val="宋体"/>
        <charset val="134"/>
      </rPr>
      <t>接收者角色</t>
    </r>
  </si>
  <si>
    <r>
      <rPr>
        <strike/>
        <sz val="9"/>
        <color rgb="FF000000"/>
        <rFont val="宋体"/>
        <charset val="134"/>
      </rPr>
      <t>角色</t>
    </r>
  </si>
  <si>
    <t>WorkflowStepObjectRole</t>
  </si>
  <si>
    <r>
      <rPr>
        <strike/>
        <sz val="9"/>
        <color rgb="FF000000"/>
        <rFont val="宋体"/>
        <charset val="134"/>
      </rPr>
      <t>工作流步骤实例接收角色</t>
    </r>
  </si>
  <si>
    <r>
      <rPr>
        <strike/>
        <sz val="9"/>
        <color theme="1"/>
        <rFont val="宋体"/>
        <charset val="134"/>
      </rPr>
      <t>工作流步骤实例</t>
    </r>
  </si>
  <si>
    <t>WorkflowStepExpandedParallelStep</t>
  </si>
  <si>
    <r>
      <rPr>
        <sz val="9"/>
        <color rgb="FF000000"/>
        <rFont val="宋体"/>
        <charset val="134"/>
      </rPr>
      <t>工作流步骤实例并行步骤</t>
    </r>
  </si>
  <si>
    <t>cim_rel_obj_wfs</t>
  </si>
  <si>
    <r>
      <rPr>
        <sz val="9"/>
        <color theme="1"/>
        <rFont val="宋体"/>
        <charset val="134"/>
      </rPr>
      <t>工作流步骤实例</t>
    </r>
  </si>
  <si>
    <r>
      <rPr>
        <sz val="9"/>
        <color rgb="FF000000"/>
        <rFont val="宋体"/>
        <charset val="134"/>
      </rPr>
      <t>工作流步骤实例</t>
    </r>
  </si>
  <si>
    <t>WorkflowStepCompletedBy</t>
  </si>
  <si>
    <r>
      <rPr>
        <sz val="9"/>
        <color rgb="FF000000"/>
        <rFont val="宋体"/>
        <charset val="134"/>
      </rPr>
      <t>工作流步骤完成者</t>
    </r>
  </si>
  <si>
    <r>
      <rPr>
        <sz val="9"/>
        <color rgb="FF000000"/>
        <rFont val="宋体"/>
        <charset val="134"/>
      </rPr>
      <t>用户</t>
    </r>
  </si>
  <si>
    <t>WorkflowStepRecipientOriginalRole</t>
  </si>
  <si>
    <r>
      <rPr>
        <strike/>
        <sz val="9"/>
        <color rgb="FF000000"/>
        <rFont val="宋体"/>
        <charset val="134"/>
      </rPr>
      <t>工作流步骤接收者原来角色</t>
    </r>
  </si>
  <si>
    <t>WorkflowStepReassignFromUser</t>
  </si>
  <si>
    <r>
      <rPr>
        <strike/>
        <sz val="9"/>
        <color rgb="FF000000"/>
        <rFont val="宋体"/>
        <charset val="134"/>
      </rPr>
      <t>工作流步骤重新分配人</t>
    </r>
  </si>
  <si>
    <t>WorkflowStepOriginalStepRecipient</t>
  </si>
  <si>
    <r>
      <rPr>
        <sz val="9"/>
        <color rgb="FF000000"/>
        <rFont val="宋体"/>
        <charset val="134"/>
      </rPr>
      <t>工作流步骤原来接收者</t>
    </r>
  </si>
  <si>
    <r>
      <rPr>
        <sz val="9"/>
        <color rgb="FF000000"/>
        <rFont val="宋体"/>
        <charset val="134"/>
      </rPr>
      <t>工作流步骤接受者</t>
    </r>
  </si>
  <si>
    <t>WorkflowDefaultSubmitter</t>
  </si>
  <si>
    <r>
      <rPr>
        <sz val="9"/>
        <color rgb="FF000000"/>
        <rFont val="宋体"/>
        <charset val="134"/>
      </rPr>
      <t>工作流提交者</t>
    </r>
  </si>
  <si>
    <t>WorkflowStepEarlyWarningMode</t>
  </si>
  <si>
    <r>
      <rPr>
        <sz val="9"/>
        <color rgb="FF000000"/>
        <rFont val="宋体"/>
        <charset val="134"/>
      </rPr>
      <t>工作步骤超时预警方式</t>
    </r>
  </si>
  <si>
    <r>
      <rPr>
        <sz val="9"/>
        <color theme="1"/>
        <rFont val="宋体"/>
        <charset val="134"/>
      </rPr>
      <t>提醒类型</t>
    </r>
  </si>
  <si>
    <t>WorkflowStepOvertimePrincipal</t>
  </si>
  <si>
    <r>
      <rPr>
        <sz val="9"/>
        <color theme="1"/>
        <rFont val="宋体"/>
        <charset val="134"/>
      </rPr>
      <t>步骤超时委托人</t>
    </r>
  </si>
  <si>
    <r>
      <rPr>
        <sz val="9"/>
        <color rgb="FF000000"/>
        <rFont val="宋体"/>
        <charset val="134"/>
      </rPr>
      <t>临时委托人</t>
    </r>
  </si>
  <si>
    <t>WorkflowStepContinuesStep</t>
  </si>
  <si>
    <r>
      <rPr>
        <sz val="9"/>
        <color rgb="FF000000"/>
        <rFont val="宋体"/>
        <charset val="134"/>
      </rPr>
      <t>实际运转的上下游步骤</t>
    </r>
  </si>
  <si>
    <r>
      <rPr>
        <sz val="9"/>
        <color rgb="FF000000"/>
        <rFont val="宋体"/>
        <charset val="134"/>
      </rPr>
      <t>工作流步骤</t>
    </r>
  </si>
  <si>
    <t>WorkflowCategory</t>
  </si>
  <si>
    <r>
      <rPr>
        <sz val="9"/>
        <color rgb="FF000000"/>
        <rFont val="宋体"/>
        <charset val="134"/>
      </rPr>
      <t>工作流分类</t>
    </r>
  </si>
  <si>
    <r>
      <rPr>
        <sz val="9"/>
        <color rgb="FF000000"/>
        <rFont val="宋体"/>
        <charset val="134"/>
      </rPr>
      <t>工作流程分类</t>
    </r>
  </si>
  <si>
    <t>WorkflowReassignToParticipant</t>
  </si>
  <si>
    <r>
      <rPr>
        <sz val="9"/>
        <color rgb="FF000000"/>
        <rFont val="宋体"/>
        <charset val="134"/>
      </rPr>
      <t>默认的重新分配的参与人</t>
    </r>
  </si>
  <si>
    <r>
      <rPr>
        <sz val="9"/>
        <color theme="1"/>
        <rFont val="宋体"/>
        <charset val="134"/>
      </rPr>
      <t>步骤参与者</t>
    </r>
  </si>
  <si>
    <t>WorkflowObjectContinues</t>
  </si>
  <si>
    <r>
      <rPr>
        <sz val="9"/>
        <color rgb="FF000000"/>
        <rFont val="宋体"/>
        <charset val="134"/>
      </rPr>
      <t>工作流实例接续的工作流实例</t>
    </r>
  </si>
  <si>
    <r>
      <rPr>
        <sz val="9"/>
        <color rgb="FF000000"/>
        <rFont val="宋体"/>
        <charset val="134"/>
      </rPr>
      <t>工作流</t>
    </r>
  </si>
  <si>
    <t>WorkflowStepOriginalOvertimePrincipals</t>
  </si>
  <si>
    <r>
      <rPr>
        <sz val="9"/>
        <color rgb="FF000000"/>
        <rFont val="宋体"/>
        <charset val="134"/>
      </rPr>
      <t>原始的临时委托人</t>
    </r>
  </si>
  <si>
    <t>WorkflowStepGroupRecipient2Participants</t>
  </si>
  <si>
    <r>
      <rPr>
        <sz val="9"/>
        <color rgb="FF000000"/>
        <rFont val="宋体"/>
        <charset val="134"/>
      </rPr>
      <t>组参与人和具体的参与人</t>
    </r>
  </si>
  <si>
    <t>WorkflowStepObjectInstantiatedBy</t>
  </si>
  <si>
    <r>
      <rPr>
        <sz val="9"/>
        <color rgb="FF000000"/>
        <rFont val="宋体"/>
        <charset val="134"/>
      </rPr>
      <t>根据模板实例化</t>
    </r>
  </si>
  <si>
    <r>
      <rPr>
        <sz val="9"/>
        <color rgb="FF000000"/>
        <rFont val="宋体"/>
        <charset val="134"/>
      </rPr>
      <t>步骤模板</t>
    </r>
  </si>
  <si>
    <t>WorkflowStepRecipientHistoryParticipants</t>
  </si>
  <si>
    <r>
      <rPr>
        <sz val="9"/>
        <color rgb="FF000000"/>
        <rFont val="宋体"/>
        <charset val="134"/>
      </rPr>
      <t>参与人的链接关系</t>
    </r>
  </si>
  <si>
    <t>cim_rel_wfs_participant</t>
  </si>
  <si>
    <t>WorkflowStepRecipientParticipants</t>
  </si>
  <si>
    <r>
      <rPr>
        <sz val="9"/>
        <color rgb="FF000000"/>
        <rFont val="宋体"/>
        <charset val="134"/>
      </rPr>
      <t>接受者对应的参与者</t>
    </r>
  </si>
  <si>
    <r>
      <rPr>
        <sz val="9"/>
        <color rgb="FFFFFFFF"/>
        <rFont val="Arial"/>
        <charset val="134"/>
      </rPr>
      <t>CIM</t>
    </r>
    <r>
      <rPr>
        <sz val="9"/>
        <color rgb="FFFFFFFF"/>
        <rFont val="Aria"/>
        <charset val="134"/>
      </rPr>
      <t>模板</t>
    </r>
  </si>
  <si>
    <t>CIMWorkflow</t>
  </si>
  <si>
    <t>工作流</t>
  </si>
  <si>
    <t>CIM.SCHEMA</t>
  </si>
  <si>
    <t>cim_wf</t>
  </si>
  <si>
    <t>cim_wf_template</t>
  </si>
  <si>
    <t>Redis</t>
  </si>
  <si>
    <t>CIMWorkflowStep</t>
  </si>
  <si>
    <t>工作流步骤</t>
  </si>
  <si>
    <t>cim_wfs</t>
  </si>
  <si>
    <t>工作流步骤模板</t>
  </si>
  <si>
    <t>cim_wfs_template</t>
  </si>
  <si>
    <t>工作流提醒类型</t>
  </si>
  <si>
    <t>WFNT,name</t>
  </si>
  <si>
    <t>cim_wf_notification_type</t>
  </si>
  <si>
    <t>CIMWorkflowStepCheckList</t>
  </si>
  <si>
    <t>工作流检查列表</t>
  </si>
  <si>
    <t>cim_wf_checkList</t>
  </si>
  <si>
    <t>CIMWorkflowStepCheckListTemplate</t>
  </si>
  <si>
    <t>工作流检查列表模板</t>
  </si>
  <si>
    <t>WFSCHSLT,name</t>
  </si>
  <si>
    <t>cim_wf_checkList_template</t>
  </si>
  <si>
    <t>CIMWorkflowStepCheckListItem</t>
  </si>
  <si>
    <t>工作流检查列表项</t>
  </si>
  <si>
    <t>cim_wf_checkList_item</t>
  </si>
  <si>
    <t>工作流条件</t>
  </si>
  <si>
    <t>WFCOND,name</t>
  </si>
  <si>
    <t>cim_wf_condition</t>
  </si>
  <si>
    <t>工作流步骤定义</t>
  </si>
  <si>
    <t>WSD,name</t>
  </si>
  <si>
    <t>cim_wfs_def</t>
  </si>
  <si>
    <t>工作流步骤分类</t>
  </si>
  <si>
    <t>WSC,name</t>
  </si>
  <si>
    <t>cim_wfs_class</t>
  </si>
  <si>
    <t>WSS,name</t>
  </si>
  <si>
    <t>cim_wfs_status</t>
  </si>
  <si>
    <t>cim_wfs_recipient</t>
  </si>
  <si>
    <t>CIMLevel,name,CIMParentUid</t>
  </si>
  <si>
    <t>cim_wf_category</t>
  </si>
  <si>
    <t>CIMInbox</t>
  </si>
  <si>
    <t>CIMInboxMessage</t>
  </si>
  <si>
    <t>ICIMHierarchyComposition</t>
  </si>
  <si>
    <t>CIMDiscipline</t>
  </si>
  <si>
    <t>ICIMWorkflowStepGroupParticipant</t>
  </si>
  <si>
    <r>
      <rPr>
        <sz val="9"/>
        <color rgb="FFFFFFFF"/>
        <rFont val="宋体"/>
        <charset val="134"/>
      </rPr>
      <t>是否显示删除按钮</t>
    </r>
  </si>
  <si>
    <r>
      <rPr>
        <sz val="9"/>
        <color rgb="FFFFFFFF"/>
        <rFont val="宋体"/>
        <charset val="134"/>
      </rPr>
      <t>是否显示编辑按钮</t>
    </r>
  </si>
  <si>
    <r>
      <rPr>
        <sz val="9"/>
        <color rgb="FFFFFFFF"/>
        <rFont val="宋体"/>
        <charset val="134"/>
      </rPr>
      <t>目的</t>
    </r>
  </si>
  <si>
    <t>WFT_L</t>
  </si>
  <si>
    <r>
      <rPr>
        <sz val="9"/>
        <color rgb="FF000000"/>
        <rFont val="宋体"/>
        <charset val="134"/>
      </rPr>
      <t>工作流模板列表</t>
    </r>
  </si>
  <si>
    <t>list</t>
  </si>
  <si>
    <t>WFT_C</t>
  </si>
  <si>
    <r>
      <rPr>
        <sz val="9"/>
        <color rgb="FF000000"/>
        <rFont val="宋体"/>
        <charset val="134"/>
      </rPr>
      <t>工作流模板创建</t>
    </r>
  </si>
  <si>
    <t>create</t>
  </si>
  <si>
    <t>WFT_U</t>
  </si>
  <si>
    <r>
      <rPr>
        <sz val="9"/>
        <color rgb="FF000000"/>
        <rFont val="宋体"/>
        <charset val="134"/>
      </rPr>
      <t>工作流模板更新</t>
    </r>
  </si>
  <si>
    <t>update</t>
  </si>
  <si>
    <t>WFST_C</t>
  </si>
  <si>
    <r>
      <rPr>
        <sz val="9"/>
        <color rgb="FF000000"/>
        <rFont val="宋体"/>
        <charset val="134"/>
      </rPr>
      <t>工作流步骤模板创建</t>
    </r>
  </si>
  <si>
    <t>WFST_U</t>
  </si>
  <si>
    <r>
      <rPr>
        <sz val="9"/>
        <color rgb="FF000000"/>
        <rFont val="宋体"/>
        <charset val="134"/>
      </rPr>
      <t>工作流步骤模板更新</t>
    </r>
  </si>
  <si>
    <t>WFS_L</t>
  </si>
  <si>
    <r>
      <rPr>
        <sz val="9"/>
        <color rgb="FF000000"/>
        <rFont val="宋体"/>
        <charset val="134"/>
      </rPr>
      <t>工作流步骤列表</t>
    </r>
  </si>
  <si>
    <t>CIMUICont_WFS_U_update</t>
  </si>
  <si>
    <t>WFS_U</t>
  </si>
  <si>
    <t>工作流步骤更新</t>
  </si>
  <si>
    <t>WFS_D</t>
  </si>
  <si>
    <t>工作流步骤详情</t>
  </si>
  <si>
    <t>detail</t>
  </si>
  <si>
    <t>WFS_P</t>
  </si>
  <si>
    <t>系统执行类的工作步骤</t>
  </si>
  <si>
    <t>WSC_P</t>
  </si>
  <si>
    <t>WFS_I</t>
  </si>
  <si>
    <t>通知类的工作步骤</t>
  </si>
  <si>
    <t>WSC_I</t>
  </si>
  <si>
    <t>WFS_W</t>
  </si>
  <si>
    <t>人工处理类的步骤</t>
  </si>
  <si>
    <t>WSC_W</t>
  </si>
  <si>
    <t>WFC_CU</t>
  </si>
  <si>
    <t>cu</t>
  </si>
  <si>
    <t>WF_L</t>
  </si>
  <si>
    <t>工作流列表</t>
  </si>
  <si>
    <t>WF_D</t>
  </si>
  <si>
    <t>工作流详情</t>
  </si>
  <si>
    <t>CIMUICont_WFT_L_list</t>
  </si>
  <si>
    <t>CIMUICont_WFT_C_create</t>
  </si>
  <si>
    <t>CIMUICont_WFT_U_update</t>
  </si>
  <si>
    <t>CIMUICont_WFST_C_create</t>
  </si>
  <si>
    <t>CIMUICont_WFST_U_update</t>
  </si>
  <si>
    <t>CIMUICont_WFS_L_list</t>
  </si>
  <si>
    <t>CIMUICont_WFS_D_detail</t>
  </si>
  <si>
    <t>CIMUICont_WFS_P_WSC_P</t>
  </si>
  <si>
    <t>CIMUICont_WFS_I_WSC_I</t>
  </si>
  <si>
    <t>CIMUICont_WFS_W_WSC_W</t>
  </si>
  <si>
    <t>CIMUICont_WFC_CU_cu</t>
  </si>
  <si>
    <t>CIMUICont_WF_L_list</t>
  </si>
  <si>
    <t>CIMUICont_WF_D_detail</t>
  </si>
  <si>
    <r>
      <rPr>
        <sz val="9"/>
        <color rgb="FFFFFFFF"/>
        <rFont val="Arial"/>
        <charset val="134"/>
      </rPr>
      <t>CIM</t>
    </r>
    <r>
      <rPr>
        <sz val="9"/>
        <color rgb="FFFFFFFF"/>
        <rFont val="微软雅黑"/>
        <charset val="134"/>
      </rPr>
      <t>模板</t>
    </r>
  </si>
  <si>
    <r>
      <rPr>
        <sz val="9"/>
        <color indexed="9"/>
        <rFont val="微软雅黑"/>
        <charset val="134"/>
      </rPr>
      <t>组头显示</t>
    </r>
  </si>
  <si>
    <t>WFTSeciton</t>
  </si>
  <si>
    <r>
      <rPr>
        <sz val="9"/>
        <color rgb="FF000000"/>
        <rFont val="微软雅黑"/>
        <charset val="134"/>
      </rPr>
      <t>工作流模板信息</t>
    </r>
  </si>
  <si>
    <r>
      <rPr>
        <sz val="9"/>
        <color rgb="FF000000"/>
        <rFont val="微软雅黑"/>
        <charset val="134"/>
      </rPr>
      <t>模板信息</t>
    </r>
  </si>
  <si>
    <t>WFTSeciton_List</t>
  </si>
  <si>
    <r>
      <rPr>
        <sz val="9"/>
        <color rgb="FF000000"/>
        <rFont val="微软雅黑"/>
        <charset val="134"/>
      </rPr>
      <t>工作流模板列表信息</t>
    </r>
  </si>
  <si>
    <t>WFSSeciton_List</t>
  </si>
  <si>
    <r>
      <rPr>
        <sz val="9"/>
        <color rgb="FF000000"/>
        <rFont val="微软雅黑"/>
        <charset val="134"/>
      </rPr>
      <t>工作流步骤信息</t>
    </r>
  </si>
  <si>
    <r>
      <rPr>
        <sz val="9"/>
        <color rgb="FF000000"/>
        <rFont val="微软雅黑"/>
        <charset val="134"/>
      </rPr>
      <t>步骤信息</t>
    </r>
  </si>
  <si>
    <t>WFSSeciton_Detail</t>
  </si>
  <si>
    <t>工作流步骤详细信息</t>
  </si>
  <si>
    <t>步骤详细信息</t>
  </si>
  <si>
    <t>WFSSeciton_Detail_RichText</t>
  </si>
  <si>
    <t>工作流步骤富文本评论</t>
  </si>
  <si>
    <t>WFST_Section_W</t>
  </si>
  <si>
    <t>WFST_Section_I</t>
  </si>
  <si>
    <t>WFST_Section_P</t>
  </si>
  <si>
    <t>WFC_Section</t>
  </si>
  <si>
    <t>流程分类信息</t>
  </si>
  <si>
    <t>WF_Section_List</t>
  </si>
  <si>
    <t>工作流列表信息</t>
  </si>
  <si>
    <t>WF_Section_Detail</t>
  </si>
  <si>
    <t>工作流详细信息</t>
  </si>
  <si>
    <r>
      <rPr>
        <sz val="9"/>
        <color rgb="FFFFFFFF"/>
        <rFont val="微软雅黑"/>
        <charset val="134"/>
      </rPr>
      <t>是否显示</t>
    </r>
    <r>
      <rPr>
        <sz val="9"/>
        <color rgb="FFFFFFFF"/>
        <rFont val="Arial"/>
        <charset val="134"/>
      </rPr>
      <t>1</t>
    </r>
  </si>
  <si>
    <r>
      <rPr>
        <sz val="9"/>
        <color indexed="9"/>
        <rFont val="微软雅黑"/>
        <charset val="134"/>
      </rPr>
      <t>组目标</t>
    </r>
  </si>
  <si>
    <r>
      <rPr>
        <sz val="9"/>
        <color rgb="FFFFFFFF"/>
        <rFont val="宋体"/>
        <charset val="134"/>
      </rPr>
      <t>列跨距</t>
    </r>
  </si>
  <si>
    <r>
      <rPr>
        <sz val="9"/>
        <color rgb="FFFFFFFF"/>
        <rFont val="宋体"/>
        <charset val="134"/>
      </rPr>
      <t>布局</t>
    </r>
  </si>
  <si>
    <t>CIMSCT_ObjectSection_Create</t>
  </si>
  <si>
    <t>ObjectSection_Create</t>
  </si>
  <si>
    <t>CIMSCT_WFTSeciton</t>
  </si>
  <si>
    <t>CIMSCT_ObjectSection_Update</t>
  </si>
  <si>
    <t>ObjectSection_Update</t>
  </si>
  <si>
    <t>CIMSCT_ObjectSection_List</t>
  </si>
  <si>
    <t>ObjectSection_List</t>
  </si>
  <si>
    <t>CIMSCT_WFTSeciton_List</t>
  </si>
  <si>
    <t>CIMSCT_WFSSeciton_List</t>
  </si>
  <si>
    <t>CIMSCT_WFSSeciton_Update</t>
  </si>
  <si>
    <t>WFSSeciton_Update</t>
  </si>
  <si>
    <t>CIMSCT_WFSSeciton_Detail</t>
  </si>
  <si>
    <t>CIMSCT_WFSSeciton_Detail_RichText</t>
  </si>
  <si>
    <t>CIMSCT_WFST_Section_P</t>
  </si>
  <si>
    <t>CIMSCT_WFST_Section_W</t>
  </si>
  <si>
    <t>CIMSCT_WFST_Section_I</t>
  </si>
  <si>
    <t>CIMSCT_WFC_Section</t>
  </si>
  <si>
    <t>CIMSCT_OrderObjSection</t>
  </si>
  <si>
    <t>OrderObjSection</t>
  </si>
  <si>
    <t>CIMSCT_WF_Section_List</t>
  </si>
  <si>
    <t>CIMSCT_WF_Section_Detail</t>
  </si>
  <si>
    <t>+WorkflowTemplateNotificationType</t>
  </si>
  <si>
    <t>通知类型</t>
  </si>
  <si>
    <t>SELECT</t>
  </si>
  <si>
    <t>-WorkflowConditionCompositions</t>
  </si>
  <si>
    <t>模板条件</t>
  </si>
  <si>
    <r>
      <rPr>
        <sz val="9"/>
        <color rgb="FF000000"/>
        <rFont val="汉仪书宋二KW"/>
        <charset val="134"/>
      </rPr>
      <t>持续时间</t>
    </r>
    <r>
      <rPr>
        <sz val="9"/>
        <color rgb="FF000000"/>
        <rFont val="Arial"/>
        <charset val="134"/>
      </rPr>
      <t>(</t>
    </r>
    <r>
      <rPr>
        <sz val="9"/>
        <color rgb="FF000000"/>
        <rFont val="汉仪书宋二KW"/>
        <charset val="134"/>
      </rPr>
      <t>天</t>
    </r>
    <r>
      <rPr>
        <sz val="9"/>
        <color rgb="FF000000"/>
        <rFont val="Arial"/>
        <charset val="134"/>
      </rPr>
      <t>)</t>
    </r>
  </si>
  <si>
    <t>INPUT_NUMBER</t>
  </si>
  <si>
    <t>+WorkflowStepStepDef</t>
  </si>
  <si>
    <t>步骤定义</t>
  </si>
  <si>
    <t>+WorkflowStepSuccessStatus</t>
  </si>
  <si>
    <t>成功状态</t>
  </si>
  <si>
    <t>+WorkflowStepFailureStatus</t>
  </si>
  <si>
    <t>失败状态</t>
  </si>
  <si>
    <t>+WorkflowStepStepRecipients</t>
  </si>
  <si>
    <t>步骤参与人</t>
  </si>
  <si>
    <t>MODAL_CUSTOM</t>
  </si>
  <si>
    <t>selectRecipients</t>
  </si>
  <si>
    <t>选取</t>
  </si>
  <si>
    <t>open</t>
  </si>
  <si>
    <t>primary</t>
  </si>
  <si>
    <t>small</t>
  </si>
  <si>
    <t>+WorkflowTemplateNotificationType_obj_name</t>
  </si>
  <si>
    <t>-WorkflowConditionCompositions_obj_name</t>
  </si>
  <si>
    <t>步骤开始日期</t>
  </si>
  <si>
    <t>DATE_PICKER</t>
  </si>
  <si>
    <t>步骤结束日期</t>
  </si>
  <si>
    <t>INPUT</t>
  </si>
  <si>
    <t>步骤持续时间</t>
  </si>
  <si>
    <t>步骤状态</t>
  </si>
  <si>
    <t>-WorkflowSteps_obj_name</t>
  </si>
  <si>
    <t>步骤对应工作流名称</t>
  </si>
  <si>
    <t>流程优先级</t>
  </si>
  <si>
    <t>+WorkflowStepEarlyWarningMode</t>
  </si>
  <si>
    <t>超时预警方式</t>
  </si>
  <si>
    <t>+WorkflowStepOvertimePrincipal</t>
  </si>
  <si>
    <t>超时委托人</t>
  </si>
  <si>
    <t>+WorkflowCategory</t>
  </si>
  <si>
    <t>SELECT_TREE</t>
  </si>
  <si>
    <t>+WorkflowCategory_obj_name</t>
  </si>
  <si>
    <t>RICH_TEXT</t>
  </si>
  <si>
    <t>CIMComp_+WorkflowTemplateNotificationType</t>
  </si>
  <si>
    <t>FASLE</t>
  </si>
  <si>
    <t>CIMComp_-WorkflowConditionCompositions</t>
  </si>
  <si>
    <t>CIMComp_+WorkflowCategory</t>
  </si>
  <si>
    <t>CIMComp_WorkflowImportance</t>
  </si>
  <si>
    <t>CIMComp_+WorkflowTemplateNotificationType_obj_name</t>
  </si>
  <si>
    <t>CIMComp_-WorkflowConditionCompositions_obj_name</t>
  </si>
  <si>
    <t>CIMComp_+WorkflowCategory_obj_name</t>
  </si>
  <si>
    <t>CIMComp_name</t>
  </si>
  <si>
    <t>名称</t>
  </si>
  <si>
    <t>CIMComp_description</t>
  </si>
  <si>
    <t>描述</t>
  </si>
  <si>
    <t>CIMComp_-WorkflowSteps_obj_name</t>
  </si>
  <si>
    <t>工作流名称</t>
  </si>
  <si>
    <t>CIMComp_WorkflowStepStatus</t>
  </si>
  <si>
    <t>CIMComp_WorkflowStepStartDate</t>
  </si>
  <si>
    <t>开始时间</t>
  </si>
  <si>
    <t>CIMComp_WorkflowStepEndDate</t>
  </si>
  <si>
    <t>结束时间</t>
  </si>
  <si>
    <t>CIMComp_WorkflowStepDuration</t>
  </si>
  <si>
    <t>CIMComp_creationUser</t>
  </si>
  <si>
    <t>创建人</t>
  </si>
  <si>
    <t>CIMComp_creationDate</t>
  </si>
  <si>
    <t>创建日期</t>
  </si>
  <si>
    <t>CIMComp_WorkflowStepComments</t>
  </si>
  <si>
    <t>CIMComp_+WorkflowStepStepDef</t>
  </si>
  <si>
    <t>CIMComp_FrontStepId</t>
  </si>
  <si>
    <t>CIMComp_WorkflowStepOperationMode</t>
  </si>
  <si>
    <t>CIMComp_+WorkflowStepSuccessStatus</t>
  </si>
  <si>
    <t>CIMComp_+WorkflowStepFailureStatus</t>
  </si>
  <si>
    <t>CIMComp_+WorkflowStepStepRecipients</t>
  </si>
  <si>
    <t>CIMComp_WorkflowStepWarningTime</t>
  </si>
  <si>
    <t>CIMComp_WorkflowStepPrincipalPrescription</t>
  </si>
  <si>
    <t>CIMComp_+WorkflowStepEarlyWarningMode</t>
  </si>
  <si>
    <t>CIMComp_+WorkflowStepOvertimePrincipal</t>
  </si>
  <si>
    <t>CIMComp_-CIMHierarchyCompositionItems</t>
  </si>
  <si>
    <t>-CIMHierarchyCompositionItems</t>
  </si>
  <si>
    <t>CIMComp_WorkflowRev</t>
  </si>
  <si>
    <t>CIMComp_WorkflowStatus</t>
  </si>
  <si>
    <t>发起人</t>
  </si>
  <si>
    <t>发起日期</t>
  </si>
  <si>
    <t>CIMComp_WorkflowMessage</t>
  </si>
  <si>
    <t>CIMComp_WorkflowRemark</t>
  </si>
  <si>
    <t>CIMComp_WorkflowErrorMsg</t>
  </si>
  <si>
    <t>CIMComp_WorkflowDetailStatus</t>
  </si>
  <si>
    <t>CIMComp_WorkflowOnHoldInd</t>
  </si>
  <si>
    <t>CIMComp_WorkflowPercentage</t>
  </si>
  <si>
    <t>CIMComp_WorkflowPartGroupInd</t>
  </si>
  <si>
    <r>
      <rPr>
        <sz val="9"/>
        <color rgb="FFFFFFFF"/>
        <rFont val="汉仪书宋二KW"/>
        <charset val="134"/>
      </rPr>
      <t>方法</t>
    </r>
    <r>
      <rPr>
        <sz val="9"/>
        <color rgb="FFFFFFFF"/>
        <rFont val="Arial"/>
        <charset val="134"/>
      </rPr>
      <t>(</t>
    </r>
    <r>
      <rPr>
        <sz val="9"/>
        <color rgb="FFFFFFFF"/>
        <rFont val="汉仪书宋二KW"/>
        <charset val="134"/>
      </rPr>
      <t>工作流</t>
    </r>
    <r>
      <rPr>
        <sz val="9"/>
        <color rgb="FFFFFFFF"/>
        <rFont val="Arial"/>
        <charset val="134"/>
      </rPr>
      <t>)</t>
    </r>
  </si>
  <si>
    <t>approve</t>
  </si>
  <si>
    <t>批准</t>
  </si>
  <si>
    <t>EXT</t>
  </si>
  <si>
    <t>Approve</t>
  </si>
  <si>
    <t>green</t>
  </si>
  <si>
    <t>reject</t>
  </si>
  <si>
    <t>red</t>
  </si>
  <si>
    <t>report</t>
  </si>
  <si>
    <t>报表</t>
  </si>
  <si>
    <t>generateReport</t>
  </si>
  <si>
    <t>{"template":["1669997817027604481"],"category":["1669975105051758593"]}</t>
  </si>
  <si>
    <t>Report</t>
  </si>
  <si>
    <t>gray</t>
  </si>
  <si>
    <t>claim</t>
  </si>
  <si>
    <t>认领</t>
  </si>
  <si>
    <t>Claim</t>
  </si>
  <si>
    <t>blue</t>
  </si>
  <si>
    <t>reassign</t>
  </si>
  <si>
    <t>重新分配参与人</t>
  </si>
  <si>
    <t>Reassign</t>
  </si>
  <si>
    <t>acknowledge</t>
  </si>
  <si>
    <t>知悉</t>
  </si>
  <si>
    <t>Acknowledge</t>
  </si>
  <si>
    <t>holdOnWorkflow</t>
  </si>
  <si>
    <t>挂起流程</t>
  </si>
  <si>
    <t>HoldOnWorkflow</t>
  </si>
  <si>
    <t>revertWorkflow</t>
  </si>
  <si>
    <t>还原流程</t>
  </si>
  <si>
    <t>RevertWorkflow</t>
  </si>
  <si>
    <t>重启流程</t>
  </si>
  <si>
    <t>attachWorkflow</t>
  </si>
  <si>
    <t>加载工作流</t>
  </si>
  <si>
    <t>AttachWorkflow</t>
  </si>
  <si>
    <r>
      <rPr>
        <sz val="12"/>
        <color rgb="FFFFFFFF"/>
        <rFont val="Arial"/>
        <charset val="134"/>
      </rPr>
      <t>CIM</t>
    </r>
    <r>
      <rPr>
        <sz val="12"/>
        <color rgb="FFFFFFFF"/>
        <rFont val="微软雅黑"/>
        <charset val="134"/>
      </rPr>
      <t>模板</t>
    </r>
  </si>
  <si>
    <t>步骤类型</t>
  </si>
  <si>
    <t>P</t>
  </si>
  <si>
    <t>auto-process step</t>
  </si>
  <si>
    <t>自定义处理</t>
  </si>
  <si>
    <t>I</t>
  </si>
  <si>
    <t>notification step</t>
  </si>
  <si>
    <t>信息通知</t>
  </si>
  <si>
    <t>W</t>
  </si>
  <si>
    <t>work step</t>
  </si>
  <si>
    <t>G</t>
  </si>
  <si>
    <t>gateway</t>
  </si>
  <si>
    <t>网关处理</t>
  </si>
  <si>
    <t>A</t>
  </si>
  <si>
    <t>确认收悉</t>
  </si>
  <si>
    <r>
      <rPr>
        <sz val="10"/>
        <color rgb="FFFFFFFF"/>
        <rFont val="Arial"/>
        <charset val="134"/>
      </rPr>
      <t>CIM</t>
    </r>
    <r>
      <rPr>
        <sz val="10"/>
        <color rgb="FFFFFFFF"/>
        <rFont val="微软雅黑"/>
        <charset val="134"/>
      </rPr>
      <t>模板</t>
    </r>
  </si>
  <si>
    <t>步骤处理器</t>
  </si>
  <si>
    <t>Approval</t>
  </si>
  <si>
    <t>人工审批步骤</t>
  </si>
  <si>
    <t>Notification</t>
  </si>
  <si>
    <t>通知</t>
  </si>
  <si>
    <t>Voting</t>
  </si>
  <si>
    <t>投票</t>
  </si>
  <si>
    <t>SignOff</t>
  </si>
  <si>
    <t>系统自动处理</t>
  </si>
  <si>
    <t>Process</t>
  </si>
  <si>
    <t>执行</t>
  </si>
  <si>
    <t>Start</t>
  </si>
  <si>
    <t>起点步骤</t>
  </si>
  <si>
    <t>WSD_Approval</t>
  </si>
  <si>
    <t>WSD_Notification</t>
  </si>
  <si>
    <t>WSD_Voting</t>
  </si>
  <si>
    <t>WSD_SignOff</t>
  </si>
  <si>
    <t>WSD_Process</t>
  </si>
  <si>
    <t>WSD_Start</t>
  </si>
  <si>
    <t>MTH_approve</t>
  </si>
  <si>
    <t>MTH_reject</t>
  </si>
  <si>
    <t>MTH_claim</t>
  </si>
  <si>
    <t>MTH_report</t>
  </si>
  <si>
    <r>
      <rPr>
        <sz val="11"/>
        <color rgb="FFFFFFFF"/>
        <rFont val="Arial"/>
        <charset val="134"/>
      </rPr>
      <t>CIM</t>
    </r>
    <r>
      <rPr>
        <sz val="11"/>
        <color rgb="FFFFFFFF"/>
        <rFont val="微软雅黑"/>
        <charset val="134"/>
      </rPr>
      <t>模板</t>
    </r>
  </si>
  <si>
    <r>
      <rPr>
        <sz val="11"/>
        <color rgb="FFFFFFFF"/>
        <rFont val="汉仪书宋二KW"/>
        <charset val="134"/>
      </rPr>
      <t>步骤状态</t>
    </r>
  </si>
  <si>
    <t>C</t>
  </si>
  <si>
    <r>
      <rPr>
        <sz val="11"/>
        <color theme="1"/>
        <rFont val="宋体"/>
        <charset val="134"/>
      </rPr>
      <t>完成</t>
    </r>
  </si>
  <si>
    <t>RS</t>
  </si>
  <si>
    <r>
      <rPr>
        <sz val="11"/>
        <color theme="1"/>
        <rFont val="宋体"/>
        <charset val="134"/>
      </rPr>
      <t>准备就绪</t>
    </r>
  </si>
  <si>
    <r>
      <rPr>
        <sz val="11"/>
        <color theme="1"/>
        <rFont val="宋体"/>
        <charset val="134"/>
      </rPr>
      <t>已签署</t>
    </r>
  </si>
  <si>
    <t>RJ</t>
  </si>
  <si>
    <r>
      <rPr>
        <sz val="11"/>
        <color theme="1"/>
        <rFont val="宋体"/>
        <charset val="134"/>
      </rPr>
      <t>驳回</t>
    </r>
  </si>
  <si>
    <t>条件表达式</t>
  </si>
  <si>
    <t>IsDoc</t>
  </si>
  <si>
    <t>是否为文档</t>
  </si>
  <si>
    <t>obj-&gt;isDoc</t>
  </si>
  <si>
    <t>工作流通知类型</t>
  </si>
  <si>
    <r>
      <rPr>
        <sz val="16"/>
        <color rgb="FFFFFFFF"/>
        <rFont val="Arial"/>
        <charset val="134"/>
      </rPr>
      <t>CIM</t>
    </r>
    <r>
      <rPr>
        <sz val="16"/>
        <color rgb="FFFFFFFF"/>
        <rFont val="微软雅黑"/>
        <charset val="134"/>
      </rPr>
      <t>模板</t>
    </r>
  </si>
  <si>
    <t>Submitter</t>
  </si>
  <si>
    <t>工作流提交者</t>
  </si>
  <si>
    <t>CIM模板</t>
  </si>
  <si>
    <t>af542f9c-1dcc-5d85-b590-9d08d6754770</t>
  </si>
  <si>
    <t>SubmitterC</t>
  </si>
  <si>
    <t>默认提交接受者</t>
  </si>
  <si>
    <t>ef18070f-af82-2f18-bbd5-67abfbf83a9e</t>
  </si>
  <si>
    <t>79feb2c6-7f65-4e94-4ae4-4acee06bb267</t>
  </si>
  <si>
    <t>WorkflowStepRecipientParticipant.af542f9c-1dcc-5d85-b590-9d08d6754770.ABUSR_Submitter</t>
  </si>
  <si>
    <t>ABUSR_Submitter</t>
  </si>
  <si>
    <t>WorkflowStepRecipientParticipant.ef18070f-af82-2f18-bbd5-67abfbf83a9e.ABUSR_Submitter</t>
  </si>
  <si>
    <t>WorkflowStepRecipientParticipant.79feb2c6-7f65-4e94-4ae4-4acee06bb267.ABUSR_Submitter</t>
  </si>
  <si>
    <t>步骤模板</t>
  </si>
  <si>
    <t>持续时间</t>
  </si>
  <si>
    <t>WST_Establishment</t>
  </si>
  <si>
    <t>Establishment</t>
  </si>
  <si>
    <t>编制</t>
  </si>
  <si>
    <t>f9f2cffc-3e93-2f84-1ea7-161dd76c61a4</t>
  </si>
  <si>
    <t>WST_Proofread</t>
  </si>
  <si>
    <t>Proofread</t>
  </si>
  <si>
    <t>校对</t>
  </si>
  <si>
    <t>559c5a94-423d-6d68-896f-81a75a4a9d37</t>
  </si>
  <si>
    <t>WST_Audit</t>
  </si>
  <si>
    <t>Audit</t>
  </si>
  <si>
    <t>审核</t>
  </si>
  <si>
    <t>1c10c9fe-3e33-3301-3f0d-1927111f11be</t>
  </si>
  <si>
    <t>WorkflowStepStepDef.WST_Establishment.WSD_Approval</t>
  </si>
  <si>
    <t>WorkflowStepStepDef.WST_Proofread.WSD_SignOff</t>
  </si>
  <si>
    <t>WorkflowStepStepDef.WST_Audit.WSD_SignOff</t>
  </si>
  <si>
    <t>WorkflowStepSuccessStep.WST_Establishment.WST_Proofread</t>
  </si>
  <si>
    <t>WorkflowStepSuccessStep.WST_Proofread.WST_Audit</t>
  </si>
  <si>
    <t>WorkflowStepFailureStep.WST_Proofread.WST_Establishment</t>
  </si>
  <si>
    <t>WorkflowStepFailureStep.WST_Audit.WST_Establishment</t>
  </si>
  <si>
    <t>WorkflowStepSuccessStatus.WST_Audit.WSS_C</t>
  </si>
  <si>
    <t>WSS_C</t>
  </si>
  <si>
    <t>WorkflowStepFailureStatus.WST_Proofread.WSS_RJ</t>
  </si>
  <si>
    <t>WSS_RJ</t>
  </si>
  <si>
    <t>WorkflowStepSuccessStatus.WST_Audit.WSS_RJ</t>
  </si>
  <si>
    <t>WorkflowStepStepRecipients.WST_Establishment.af542f9c-1dcc-5d85-b590-9d08d6754770</t>
  </si>
  <si>
    <t>WorkflowStepStepRecipients.WST_Proofread.ef18070f-af82-2f18-bbd5-67abfbf83a9e</t>
  </si>
  <si>
    <t>WorkflowStepStepRecipients.WST_Audit.79feb2c6-7f65-4e94-4ae4-4acee06bb267</t>
  </si>
  <si>
    <r>
      <rPr>
        <sz val="20"/>
        <color rgb="FFFFFFFF"/>
        <rFont val="Arial"/>
        <charset val="134"/>
      </rPr>
      <t>CIM</t>
    </r>
    <r>
      <rPr>
        <sz val="20"/>
        <color rgb="FFFFFFFF"/>
        <rFont val="微软雅黑"/>
        <charset val="134"/>
      </rPr>
      <t>模板</t>
    </r>
  </si>
  <si>
    <t>WFT_ModelDocReview</t>
  </si>
  <si>
    <t>ModelDocReview</t>
  </si>
  <si>
    <t>模型文档编校审流程</t>
  </si>
  <si>
    <t>XXXXX</t>
  </si>
  <si>
    <t>WorkflowConditionCompositions.WFT_ModelDocReview.WFCOND_IsDoc</t>
  </si>
  <si>
    <t>WFCOND_IsDoc</t>
  </si>
  <si>
    <t>WorkflowTemplateNotificationType.WFT_ModelDocReview.WFNT.Email</t>
  </si>
  <si>
    <t>WFNT.Email</t>
  </si>
  <si>
    <t>WorkflowSteps.WFT_ModelDocReview.WST_Establishment</t>
  </si>
  <si>
    <t>WorkflowSteps.WFT_ModelDocReview.WST_Proofread</t>
  </si>
  <si>
    <t>WorkflowSteps.WFT_ModelDocReview.WST_Audit</t>
  </si>
  <si>
    <t>WorkflowFirstStep.WFT_ModelDocReview.WST_Establishment</t>
  </si>
  <si>
    <t>0.校审.</t>
  </si>
  <si>
    <t>校审</t>
  </si>
  <si>
    <r>
      <rPr>
        <sz val="9"/>
        <color rgb="FFFFFFFF"/>
        <rFont val="宋体"/>
        <charset val="134"/>
      </rPr>
      <t>层级</t>
    </r>
  </si>
  <si>
    <r>
      <rPr>
        <sz val="9"/>
        <color rgb="FFFFFFFF"/>
        <rFont val="宋体"/>
        <charset val="134"/>
      </rPr>
      <t>唯一标识层级路径</t>
    </r>
  </si>
  <si>
    <r>
      <rPr>
        <sz val="9"/>
        <color rgb="FFFFFFFF"/>
        <rFont val="宋体"/>
        <charset val="134"/>
      </rPr>
      <t>名称层级路径</t>
    </r>
  </si>
  <si>
    <r>
      <rPr>
        <sz val="9"/>
        <color rgb="FFFFFFFF"/>
        <rFont val="宋体"/>
        <charset val="134"/>
      </rPr>
      <t>父节点唯一标识</t>
    </r>
  </si>
  <si>
    <r>
      <rPr>
        <sz val="9"/>
        <color rgb="FFFFFFFF"/>
        <rFont val="宋体"/>
        <charset val="134"/>
      </rPr>
      <t>排序</t>
    </r>
  </si>
  <si>
    <t>CIM Templates LoadFile</t>
  </si>
  <si>
    <t>选择要为其生成加载文件的解决方案。 解决方案之间的schema、管理和数据存在差异。各个项目均标有其适用的解决方案。</t>
  </si>
  <si>
    <t>选择这些文件的范围。 对于schema文件而言，在容器上设置 CompSchema 和 Scope 属性非常重要。</t>
  </si>
  <si>
    <t>选择要生成的加载文件格式。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</si>
</sst>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8" formatCode="[$-409]d/mmm/yy;@"/>
    <numFmt numFmtId="191" formatCode="0_ "/>
  </numFmts>
  <fonts count="113">
    <font>
      <sz val="11"/>
      <color theme="1"/>
      <name val="Calibri"/>
      <charset val="134"/>
      <scheme val="minor"/>
    </font>
    <font>
      <sz val="9"/>
      <color theme="1"/>
      <name val="Arial"/>
      <charset val="134"/>
    </font>
    <font>
      <sz val="9"/>
      <color rgb="FFFFFFFF"/>
      <name val="Arial"/>
      <charset val="134"/>
    </font>
    <font>
      <sz val="9"/>
      <color rgb="FF000000"/>
      <name val="Arial"/>
      <charset val="134"/>
    </font>
    <font>
      <sz val="9"/>
      <color rgb="FFFFFFFF"/>
      <name val="宋体"/>
      <charset val="134"/>
    </font>
    <font>
      <sz val="9"/>
      <color rgb="FF000000"/>
      <name val="宋体"/>
      <charset val="134"/>
    </font>
    <font>
      <sz val="20"/>
      <color theme="1"/>
      <name val="Arial"/>
      <charset val="134"/>
    </font>
    <font>
      <sz val="20"/>
      <color rgb="FFFFFFFF"/>
      <name val="Arial"/>
      <charset val="134"/>
    </font>
    <font>
      <sz val="20"/>
      <color indexed="9"/>
      <name val="Arial"/>
      <charset val="134"/>
    </font>
    <font>
      <sz val="20"/>
      <color rgb="FFFFFFFF"/>
      <name val="汉仪书宋二KW"/>
      <charset val="134"/>
    </font>
    <font>
      <sz val="20"/>
      <color rgb="FF000000"/>
      <name val="Arial"/>
      <charset val="134"/>
    </font>
    <font>
      <sz val="20"/>
      <color rgb="FF000000"/>
      <name val="宋体"/>
      <charset val="134"/>
    </font>
    <font>
      <sz val="20"/>
      <name val="Arial"/>
      <charset val="134"/>
    </font>
    <font>
      <sz val="10"/>
      <color theme="1"/>
      <name val="Arial"/>
      <charset val="134"/>
    </font>
    <font>
      <sz val="10"/>
      <color rgb="FFFFFFFF"/>
      <name val="Arial"/>
      <charset val="134"/>
    </font>
    <font>
      <sz val="10"/>
      <color indexed="9"/>
      <name val="Arial"/>
      <charset val="134"/>
    </font>
    <font>
      <sz val="10"/>
      <color rgb="FFFFFFFF"/>
      <name val="汉仪书宋二KW"/>
      <charset val="134"/>
    </font>
    <font>
      <sz val="10"/>
      <color rgb="FF000000"/>
      <name val="Arial"/>
      <charset val="134"/>
    </font>
    <font>
      <sz val="10"/>
      <color rgb="FF000000"/>
      <name val="宋体"/>
      <charset val="134"/>
    </font>
    <font>
      <sz val="10"/>
      <color rgb="FF000000"/>
      <name val="汉仪书宋二KW"/>
      <charset val="134"/>
    </font>
    <font>
      <sz val="14"/>
      <color theme="1"/>
      <name val="Cambria"/>
      <charset val="134"/>
      <scheme val="major"/>
    </font>
    <font>
      <sz val="14"/>
      <color rgb="FFFFFFFF"/>
      <name val="Cambria"/>
      <charset val="134"/>
      <scheme val="major"/>
    </font>
    <font>
      <sz val="14"/>
      <color indexed="9"/>
      <name val="Cambria"/>
      <charset val="134"/>
      <scheme val="major"/>
    </font>
    <font>
      <sz val="14"/>
      <color rgb="FF000000"/>
      <name val="Cambria"/>
      <charset val="134"/>
      <scheme val="major"/>
    </font>
    <font>
      <sz val="16"/>
      <color rgb="FFFFFFFF"/>
      <name val="Arial"/>
      <charset val="134"/>
    </font>
    <font>
      <sz val="16"/>
      <color indexed="9"/>
      <name val="Arial"/>
      <charset val="134"/>
    </font>
    <font>
      <sz val="16"/>
      <color theme="1"/>
      <name val="Arial"/>
      <charset val="134"/>
    </font>
    <font>
      <sz val="16"/>
      <color rgb="FFFFFFFF"/>
      <name val="汉仪书宋二KW"/>
      <charset val="134"/>
    </font>
    <font>
      <sz val="16"/>
      <color theme="1"/>
      <name val="Calibri"/>
      <charset val="134"/>
      <scheme val="minor"/>
    </font>
    <font>
      <sz val="16"/>
      <color rgb="FF000000"/>
      <name val="宋体"/>
      <charset val="134"/>
    </font>
    <font>
      <sz val="11"/>
      <color rgb="FFFFFFFF"/>
      <name val="Arial"/>
      <charset val="134"/>
    </font>
    <font>
      <sz val="11"/>
      <color indexed="9"/>
      <name val="Arial"/>
      <charset val="134"/>
    </font>
    <font>
      <sz val="11"/>
      <color theme="1"/>
      <name val="Arial"/>
      <charset val="134"/>
    </font>
    <font>
      <sz val="11"/>
      <color rgb="FFFFFFFF"/>
      <name val="汉仪书宋二KW"/>
      <charset val="134"/>
    </font>
    <font>
      <sz val="11"/>
      <color rgb="FF000000"/>
      <name val="宋体"/>
      <charset val="134"/>
    </font>
    <font>
      <sz val="11"/>
      <color theme="1"/>
      <name val="Cambria"/>
      <charset val="134"/>
      <scheme val="major"/>
    </font>
    <font>
      <sz val="11"/>
      <color rgb="FF000000"/>
      <name val="Arial"/>
      <charset val="134"/>
    </font>
    <font>
      <sz val="10"/>
      <color theme="1"/>
      <name val="宋体"/>
      <charset val="134"/>
    </font>
    <font>
      <sz val="12"/>
      <color rgb="FFFFFFFF"/>
      <name val="Arial"/>
      <charset val="134"/>
    </font>
    <font>
      <sz val="12"/>
      <color indexed="9"/>
      <name val="Arial"/>
      <charset val="134"/>
    </font>
    <font>
      <sz val="12"/>
      <color theme="1"/>
      <name val="Arial"/>
      <charset val="134"/>
    </font>
    <font>
      <sz val="12"/>
      <color rgb="FFFFFFFF"/>
      <name val="汉仪书宋二KW"/>
      <charset val="134"/>
    </font>
    <font>
      <sz val="12"/>
      <color rgb="FF000000"/>
      <name val="Arial"/>
      <charset val="134"/>
    </font>
    <font>
      <sz val="12"/>
      <color rgb="FF000000"/>
      <name val="宋体"/>
      <charset val="134"/>
    </font>
    <font>
      <sz val="12"/>
      <color theme="1"/>
      <name val="宋体"/>
      <charset val="134"/>
    </font>
    <font>
      <sz val="9"/>
      <color indexed="9"/>
      <name val="Arial"/>
      <charset val="134"/>
    </font>
    <font>
      <sz val="9"/>
      <color rgb="FFFFFFFF"/>
      <name val="汉仪书宋二KW"/>
      <charset val="134"/>
    </font>
    <font>
      <sz val="9"/>
      <color theme="1"/>
      <name val="宋体"/>
      <charset val="134"/>
    </font>
    <font>
      <sz val="9"/>
      <color indexed="9"/>
      <name val="汉仪书宋二KW"/>
      <charset val="134"/>
    </font>
    <font>
      <i/>
      <sz val="9"/>
      <color theme="1"/>
      <name val="Arial"/>
      <charset val="134"/>
    </font>
    <font>
      <sz val="9"/>
      <color rgb="FF000000"/>
      <name val="汉仪书宋二KW"/>
      <charset val="134"/>
    </font>
    <font>
      <sz val="9"/>
      <color theme="1"/>
      <name val="汉仪书宋二KW"/>
      <charset val="134"/>
    </font>
    <font>
      <sz val="9"/>
      <color indexed="9"/>
      <name val="宋体"/>
      <charset val="134"/>
    </font>
    <font>
      <sz val="9"/>
      <name val="Arial"/>
      <charset val="134"/>
    </font>
    <font>
      <strike/>
      <sz val="9"/>
      <color theme="1"/>
      <name val="Arial"/>
      <charset val="134"/>
    </font>
    <font>
      <sz val="9"/>
      <name val="Aria"/>
      <charset val="134"/>
    </font>
    <font>
      <sz val="9"/>
      <color rgb="FF000000"/>
      <name val="Aria"/>
      <charset val="134"/>
    </font>
    <font>
      <sz val="9"/>
      <name val="汉仪书宋二KW"/>
      <charset val="134"/>
    </font>
    <font>
      <strike/>
      <sz val="9"/>
      <color rgb="FF000000"/>
      <name val="Arial"/>
      <charset val="134"/>
    </font>
    <font>
      <strike/>
      <sz val="9"/>
      <name val="Arial"/>
      <charset val="134"/>
    </font>
    <font>
      <sz val="8"/>
      <color theme="1"/>
      <name val="Arial"/>
      <charset val="134"/>
    </font>
    <font>
      <sz val="8"/>
      <color theme="1"/>
      <name val="宋体"/>
      <charset val="134"/>
    </font>
    <font>
      <sz val="8"/>
      <color rgb="FFFFFFFF"/>
      <name val="Arial"/>
      <charset val="134"/>
    </font>
    <font>
      <sz val="8"/>
      <color rgb="FFFFFFFF"/>
      <name val="宋体"/>
      <charset val="134"/>
    </font>
    <font>
      <sz val="8"/>
      <color indexed="9"/>
      <name val="Arial"/>
      <charset val="134"/>
    </font>
    <font>
      <sz val="8"/>
      <color indexed="9"/>
      <name val="宋体"/>
      <charset val="134"/>
    </font>
    <font>
      <sz val="8"/>
      <name val="Arial"/>
      <charset val="134"/>
    </font>
    <font>
      <sz val="8"/>
      <color rgb="FF000000"/>
      <name val="Arial"/>
      <charset val="134"/>
    </font>
    <font>
      <sz val="8"/>
      <color rgb="FF000000"/>
      <name val="宋体"/>
      <charset val="134"/>
    </font>
    <font>
      <sz val="8"/>
      <name val="宋体"/>
      <charset val="134"/>
    </font>
    <font>
      <sz val="9"/>
      <color theme="0"/>
      <name val="Arial"/>
      <charset val="134"/>
    </font>
    <font>
      <sz val="11"/>
      <name val="Arial"/>
      <charset val="134"/>
    </font>
    <font>
      <i/>
      <sz val="11"/>
      <color theme="1"/>
      <name val="Arial"/>
      <charset val="134"/>
    </font>
    <font>
      <b/>
      <i/>
      <sz val="18"/>
      <color indexed="9"/>
      <name val="Arial"/>
      <charset val="134"/>
    </font>
    <font>
      <b/>
      <i/>
      <sz val="11"/>
      <color rgb="FFFFFFFF"/>
      <name val="宋体"/>
      <charset val="134"/>
    </font>
    <font>
      <i/>
      <sz val="11"/>
      <color indexed="9"/>
      <name val="Arial"/>
      <charset val="134"/>
    </font>
    <font>
      <i/>
      <sz val="11"/>
      <color indexed="9"/>
      <name val="Aria"/>
      <charset val="134"/>
    </font>
    <font>
      <i/>
      <sz val="11"/>
      <name val="Arial"/>
      <charset val="134"/>
    </font>
    <font>
      <i/>
      <sz val="11"/>
      <color rgb="FFFFFFFF"/>
      <name val="宋体"/>
      <charset val="134"/>
    </font>
    <font>
      <i/>
      <sz val="12"/>
      <color rgb="FFFFFFFF"/>
      <name val="Arial"/>
      <charset val="134"/>
    </font>
    <font>
      <i/>
      <sz val="12"/>
      <color indexed="9"/>
      <name val="Arial"/>
      <charset val="134"/>
    </font>
    <font>
      <i/>
      <sz val="12"/>
      <color rgb="FFFFFFFF"/>
      <name val="汉仪书宋二KW"/>
      <charset val="134"/>
    </font>
    <font>
      <sz val="10"/>
      <color rgb="FFA31515"/>
      <name val="Arial Unicode MS"/>
      <charset val="134"/>
    </font>
    <font>
      <i/>
      <sz val="11"/>
      <color rgb="FF000000"/>
      <name val="Arial"/>
      <charset val="134"/>
    </font>
    <font>
      <sz val="10"/>
      <name val="Arial"/>
      <charset val="134"/>
    </font>
    <font>
      <sz val="18"/>
      <color indexed="9"/>
      <name val="Frutiger LT Std 87 ExtraBlk Cn"/>
      <charset val="134"/>
    </font>
    <font>
      <b/>
      <sz val="10"/>
      <name val="Arial"/>
      <charset val="134"/>
    </font>
    <font>
      <sz val="11"/>
      <color indexed="8"/>
      <name val="宋体"/>
      <charset val="134"/>
    </font>
    <font>
      <sz val="12"/>
      <name val="宋体"/>
      <charset val="134"/>
    </font>
    <font>
      <sz val="8"/>
      <color rgb="FFFFFFFF"/>
      <name val="黑体"/>
      <charset val="134"/>
    </font>
    <font>
      <sz val="11"/>
      <color theme="1"/>
      <name val="宋体"/>
      <charset val="134"/>
    </font>
    <font>
      <sz val="11"/>
      <color rgb="FFFFFFFF"/>
      <name val="微软雅黑"/>
      <charset val="134"/>
    </font>
    <font>
      <i/>
      <sz val="11"/>
      <color rgb="FFFFFFFF"/>
      <name val="Aria"/>
      <charset val="134"/>
    </font>
    <font>
      <i/>
      <sz val="12"/>
      <color rgb="FFFFFFFF"/>
      <name val="宋体"/>
      <charset val="134"/>
    </font>
    <font>
      <sz val="9"/>
      <color indexed="9"/>
      <name val="微软雅黑"/>
      <charset val="134"/>
    </font>
    <font>
      <strike/>
      <sz val="9"/>
      <color rgb="FF000000"/>
      <name val="宋体"/>
      <charset val="134"/>
    </font>
    <font>
      <sz val="11"/>
      <color rgb="FFFFFFFF"/>
      <name val="宋体"/>
      <charset val="134"/>
    </font>
    <font>
      <b/>
      <i/>
      <sz val="11"/>
      <color rgb="FFFFFFFF"/>
      <name val="Arial"/>
      <charset val="134"/>
    </font>
    <font>
      <sz val="11"/>
      <name val="宋体"/>
      <charset val="134"/>
    </font>
    <font>
      <sz val="11"/>
      <color rgb="FF000000"/>
      <name val="汉仪书宋二KW"/>
      <charset val="134"/>
    </font>
    <font>
      <strike/>
      <sz val="9"/>
      <color theme="1"/>
      <name val="宋体"/>
      <charset val="134"/>
    </font>
    <font>
      <sz val="12"/>
      <color rgb="FFFFFFFF"/>
      <name val="微软雅黑"/>
      <charset val="134"/>
    </font>
    <font>
      <sz val="16"/>
      <color rgb="FFFFFFFF"/>
      <name val="微软雅黑"/>
      <charset val="134"/>
    </font>
    <font>
      <sz val="9"/>
      <color rgb="FF000000"/>
      <name val="微软雅黑"/>
      <charset val="134"/>
    </font>
    <font>
      <sz val="10"/>
      <color rgb="FFFFFFFF"/>
      <name val="微软雅黑"/>
      <charset val="134"/>
    </font>
    <font>
      <sz val="20"/>
      <color rgb="FFFFFFFF"/>
      <name val="微软雅黑"/>
      <charset val="134"/>
    </font>
    <font>
      <sz val="9"/>
      <color rgb="FFFFFFFF"/>
      <name val="微软雅黑"/>
      <charset val="134"/>
    </font>
    <font>
      <sz val="9"/>
      <color rgb="FFFFFFFF"/>
      <name val="Aria"/>
      <charset val="134"/>
    </font>
    <font>
      <sz val="9"/>
      <name val="宋体"/>
      <charset val="134"/>
    </font>
    <font>
      <b/>
      <sz val="9"/>
      <name val="宋体"/>
      <charset val="134"/>
    </font>
    <font>
      <sz val="11"/>
      <color theme="1"/>
      <name val="Calibri"/>
      <charset val="134"/>
      <scheme val="minor"/>
    </font>
    <font>
      <b/>
      <sz val="10"/>
      <color rgb="FF000000"/>
      <name val="Arial"/>
      <family val="2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8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366092"/>
        <bgColor rgb="FF000000"/>
      </patternFill>
    </fill>
    <fill>
      <patternFill patternType="solid">
        <fgColor indexed="1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BE5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8FAADC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DCDB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5">
    <xf numFmtId="0" fontId="0" fillId="0" borderId="0"/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110" fillId="0" borderId="0">
      <alignment vertical="center"/>
    </xf>
    <xf numFmtId="0" fontId="87" fillId="0" borderId="0">
      <alignment vertical="center"/>
    </xf>
    <xf numFmtId="0" fontId="110" fillId="0" borderId="0"/>
    <xf numFmtId="0" fontId="110" fillId="0" borderId="0"/>
    <xf numFmtId="0" fontId="110" fillId="0" borderId="0"/>
    <xf numFmtId="0" fontId="110" fillId="0" borderId="0"/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8" fillId="0" borderId="0">
      <alignment vertical="center"/>
    </xf>
    <xf numFmtId="0" fontId="110" fillId="0" borderId="0"/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110" fillId="0" borderId="0"/>
    <xf numFmtId="0" fontId="87" fillId="0" borderId="0">
      <alignment vertical="center"/>
    </xf>
    <xf numFmtId="0" fontId="87" fillId="0" borderId="0">
      <alignment vertical="center"/>
    </xf>
    <xf numFmtId="0" fontId="110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4" fillId="0" borderId="0"/>
    <xf numFmtId="0" fontId="87" fillId="0" borderId="0">
      <alignment vertical="center"/>
    </xf>
    <xf numFmtId="0" fontId="110" fillId="0" borderId="0"/>
  </cellStyleXfs>
  <cellXfs count="344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191" fontId="1" fillId="0" borderId="0" xfId="0" applyNumberFormat="1" applyFont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center"/>
    </xf>
    <xf numFmtId="0" fontId="2" fillId="2" borderId="0" xfId="0" applyNumberFormat="1" applyFont="1" applyFill="1" applyBorder="1" applyAlignment="1">
      <alignment horizontal="left" vertical="center"/>
    </xf>
    <xf numFmtId="0" fontId="2" fillId="3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Border="1" applyAlignment="1">
      <alignment horizontal="left" vertical="center"/>
    </xf>
    <xf numFmtId="0" fontId="5" fillId="0" borderId="0" xfId="0" applyNumberFormat="1" applyFont="1" applyBorder="1" applyAlignment="1">
      <alignment horizontal="left" vertical="center"/>
    </xf>
    <xf numFmtId="0" fontId="2" fillId="3" borderId="0" xfId="0" applyNumberFormat="1" applyFont="1" applyFill="1" applyBorder="1" applyAlignment="1">
      <alignment horizontal="left" vertical="center"/>
    </xf>
    <xf numFmtId="0" fontId="2" fillId="4" borderId="0" xfId="0" applyNumberFormat="1" applyFont="1" applyFill="1" applyBorder="1" applyAlignment="1">
      <alignment horizontal="left" vertical="center"/>
    </xf>
    <xf numFmtId="191" fontId="3" fillId="0" borderId="0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0" fontId="9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left" vertical="center"/>
    </xf>
    <xf numFmtId="0" fontId="10" fillId="0" borderId="0" xfId="0" applyFont="1"/>
    <xf numFmtId="0" fontId="11" fillId="0" borderId="0" xfId="0" applyFont="1"/>
    <xf numFmtId="0" fontId="7" fillId="6" borderId="1" xfId="0" applyFont="1" applyFill="1" applyBorder="1" applyAlignment="1">
      <alignment horizontal="left" vertical="center"/>
    </xf>
    <xf numFmtId="0" fontId="10" fillId="0" borderId="0" xfId="0" applyNumberFormat="1" applyFont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3" fillId="0" borderId="0" xfId="0" applyFont="1"/>
    <xf numFmtId="0" fontId="13" fillId="0" borderId="0" xfId="0" applyFont="1" applyAlignment="1">
      <alignment horizontal="left" vertical="center"/>
    </xf>
    <xf numFmtId="0" fontId="15" fillId="5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16" fillId="5" borderId="1" xfId="0" applyFont="1" applyFill="1" applyBorder="1" applyAlignment="1">
      <alignment horizontal="left" vertical="center"/>
    </xf>
    <xf numFmtId="0" fontId="15" fillId="5" borderId="1" xfId="0" applyFont="1" applyFill="1" applyBorder="1" applyAlignment="1">
      <alignment horizontal="left" vertical="center"/>
    </xf>
    <xf numFmtId="0" fontId="15" fillId="6" borderId="1" xfId="0" applyFont="1" applyFill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6" fillId="6" borderId="1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4" fillId="6" borderId="1" xfId="0" applyFont="1" applyFill="1" applyBorder="1" applyAlignment="1">
      <alignment horizontal="left" vertical="center"/>
    </xf>
    <xf numFmtId="0" fontId="17" fillId="0" borderId="0" xfId="0" applyNumberFormat="1" applyFont="1" applyAlignment="1">
      <alignment horizontal="left" vertical="center"/>
    </xf>
    <xf numFmtId="0" fontId="20" fillId="0" borderId="0" xfId="0" applyFont="1"/>
    <xf numFmtId="0" fontId="20" fillId="0" borderId="0" xfId="0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0" fontId="21" fillId="5" borderId="1" xfId="0" applyFont="1" applyFill="1" applyBorder="1" applyAlignment="1">
      <alignment horizontal="left" vertical="center"/>
    </xf>
    <xf numFmtId="0" fontId="22" fillId="5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/>
    </xf>
    <xf numFmtId="0" fontId="23" fillId="0" borderId="0" xfId="0" applyFont="1"/>
    <xf numFmtId="0" fontId="21" fillId="6" borderId="1" xfId="0" applyFont="1" applyFill="1" applyBorder="1" applyAlignment="1">
      <alignment horizontal="left" vertical="center"/>
    </xf>
    <xf numFmtId="0" fontId="25" fillId="5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/>
    </xf>
    <xf numFmtId="49" fontId="26" fillId="0" borderId="0" xfId="0" applyNumberFormat="1" applyFont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5" fillId="6" borderId="0" xfId="0" applyFont="1" applyFill="1" applyAlignment="1">
      <alignment horizontal="left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left" vertical="center"/>
    </xf>
    <xf numFmtId="0" fontId="32" fillId="0" borderId="0" xfId="0" applyFont="1" applyAlignment="1">
      <alignment horizontal="left" vertical="center"/>
    </xf>
    <xf numFmtId="49" fontId="32" fillId="0" borderId="0" xfId="0" applyNumberFormat="1" applyFont="1" applyAlignment="1">
      <alignment horizontal="left" vertical="center"/>
    </xf>
    <xf numFmtId="0" fontId="33" fillId="5" borderId="0" xfId="0" applyFont="1" applyFill="1" applyAlignment="1">
      <alignment horizontal="left" vertical="center"/>
    </xf>
    <xf numFmtId="0" fontId="31" fillId="6" borderId="0" xfId="0" applyFont="1" applyFill="1" applyAlignment="1">
      <alignment horizontal="left" vertical="center"/>
    </xf>
    <xf numFmtId="0" fontId="0" fillId="0" borderId="0" xfId="0" applyFont="1"/>
    <xf numFmtId="0" fontId="34" fillId="0" borderId="0" xfId="0" applyFont="1"/>
    <xf numFmtId="0" fontId="35" fillId="0" borderId="0" xfId="0" applyFont="1" applyFill="1" applyBorder="1" applyAlignment="1">
      <alignment horizontal="left" vertical="center"/>
    </xf>
    <xf numFmtId="0" fontId="36" fillId="0" borderId="0" xfId="0" applyFont="1"/>
    <xf numFmtId="0" fontId="32" fillId="0" borderId="0" xfId="0" applyFont="1"/>
    <xf numFmtId="0" fontId="33" fillId="6" borderId="0" xfId="0" applyFont="1" applyFill="1" applyAlignment="1">
      <alignment horizontal="left" vertical="center"/>
    </xf>
    <xf numFmtId="0" fontId="16" fillId="5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37" fillId="0" borderId="0" xfId="0" applyFont="1"/>
    <xf numFmtId="0" fontId="18" fillId="0" borderId="0" xfId="0" applyFont="1"/>
    <xf numFmtId="0" fontId="17" fillId="0" borderId="0" xfId="0" applyFont="1"/>
    <xf numFmtId="0" fontId="16" fillId="6" borderId="0" xfId="0" applyFont="1" applyFill="1" applyAlignment="1">
      <alignment horizontal="left" vertical="center"/>
    </xf>
    <xf numFmtId="0" fontId="39" fillId="5" borderId="0" xfId="0" applyFont="1" applyFill="1" applyAlignment="1">
      <alignment horizontal="left" vertical="center"/>
    </xf>
    <xf numFmtId="0" fontId="40" fillId="0" borderId="0" xfId="0" applyFont="1" applyAlignment="1">
      <alignment horizontal="left" vertical="center"/>
    </xf>
    <xf numFmtId="49" fontId="40" fillId="0" borderId="0" xfId="0" applyNumberFormat="1" applyFont="1" applyAlignment="1">
      <alignment horizontal="left" vertical="center"/>
    </xf>
    <xf numFmtId="0" fontId="41" fillId="5" borderId="0" xfId="0" applyFont="1" applyFill="1" applyAlignment="1">
      <alignment horizontal="left" vertical="center"/>
    </xf>
    <xf numFmtId="0" fontId="39" fillId="6" borderId="0" xfId="0" applyFont="1" applyFill="1" applyAlignment="1">
      <alignment horizontal="left" vertical="center"/>
    </xf>
    <xf numFmtId="0" fontId="40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1" fillId="0" borderId="0" xfId="0" applyFont="1"/>
    <xf numFmtId="0" fontId="45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46" fillId="5" borderId="0" xfId="0" applyFont="1" applyFill="1" applyAlignment="1">
      <alignment horizontal="left" vertical="center"/>
    </xf>
    <xf numFmtId="0" fontId="45" fillId="6" borderId="0" xfId="0" applyFont="1" applyFill="1" applyAlignment="1">
      <alignment horizontal="left" vertical="center"/>
    </xf>
    <xf numFmtId="0" fontId="47" fillId="0" borderId="0" xfId="0" applyFont="1"/>
    <xf numFmtId="0" fontId="3" fillId="0" borderId="0" xfId="0" applyFont="1"/>
    <xf numFmtId="0" fontId="5" fillId="0" borderId="0" xfId="0" applyFont="1"/>
    <xf numFmtId="0" fontId="48" fillId="6" borderId="0" xfId="0" applyFont="1" applyFill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49" fillId="0" borderId="0" xfId="0" applyFont="1"/>
    <xf numFmtId="0" fontId="1" fillId="0" borderId="0" xfId="0" applyFont="1" applyAlignment="1">
      <alignment horizontal="left"/>
    </xf>
    <xf numFmtId="0" fontId="45" fillId="5" borderId="0" xfId="0" applyFont="1" applyFill="1" applyBorder="1" applyAlignment="1">
      <alignment horizontal="left" vertical="center"/>
    </xf>
    <xf numFmtId="0" fontId="45" fillId="6" borderId="0" xfId="0" applyFont="1" applyFill="1" applyBorder="1" applyAlignment="1">
      <alignment horizontal="left" vertical="center"/>
    </xf>
    <xf numFmtId="188" fontId="3" fillId="0" borderId="0" xfId="0" applyNumberFormat="1" applyFont="1" applyFill="1" applyBorder="1" applyAlignment="1">
      <alignment horizontal="left" vertical="center"/>
    </xf>
    <xf numFmtId="0" fontId="50" fillId="0" borderId="0" xfId="0" applyNumberFormat="1" applyFont="1" applyFill="1" applyBorder="1" applyAlignment="1">
      <alignment horizontal="left" vertical="center"/>
    </xf>
    <xf numFmtId="0" fontId="3" fillId="7" borderId="0" xfId="0" applyFont="1" applyFill="1" applyBorder="1" applyAlignment="1">
      <alignment horizontal="left" vertical="center"/>
    </xf>
    <xf numFmtId="0" fontId="50" fillId="0" borderId="0" xfId="0" applyFont="1" applyBorder="1" applyAlignment="1">
      <alignment horizontal="left" vertical="center"/>
    </xf>
    <xf numFmtId="0" fontId="3" fillId="7" borderId="0" xfId="0" applyFont="1" applyFill="1" applyBorder="1"/>
    <xf numFmtId="0" fontId="50" fillId="0" borderId="0" xfId="0" applyFont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7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45" fillId="6" borderId="0" xfId="0" applyNumberFormat="1" applyFont="1" applyFill="1" applyBorder="1" applyAlignment="1">
      <alignment horizontal="left" vertical="center"/>
    </xf>
    <xf numFmtId="0" fontId="51" fillId="10" borderId="1" xfId="0" applyFont="1" applyFill="1" applyBorder="1" applyAlignment="1">
      <alignment horizontal="left"/>
    </xf>
    <xf numFmtId="0" fontId="50" fillId="10" borderId="1" xfId="0" applyFont="1" applyFill="1" applyBorder="1" applyAlignment="1">
      <alignment horizontal="left"/>
    </xf>
    <xf numFmtId="0" fontId="51" fillId="8" borderId="1" xfId="0" applyFont="1" applyFill="1" applyBorder="1" applyAlignment="1">
      <alignment horizontal="left"/>
    </xf>
    <xf numFmtId="0" fontId="50" fillId="8" borderId="1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left"/>
    </xf>
    <xf numFmtId="0" fontId="52" fillId="6" borderId="0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/>
    </xf>
    <xf numFmtId="0" fontId="3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1" fillId="12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/>
    </xf>
    <xf numFmtId="0" fontId="3" fillId="11" borderId="1" xfId="0" applyFont="1" applyFill="1" applyBorder="1" applyAlignment="1">
      <alignment horizontal="left"/>
    </xf>
    <xf numFmtId="0" fontId="3" fillId="13" borderId="3" xfId="0" applyFont="1" applyFill="1" applyBorder="1" applyAlignment="1">
      <alignment horizontal="left"/>
    </xf>
    <xf numFmtId="0" fontId="3" fillId="12" borderId="1" xfId="0" applyFont="1" applyFill="1" applyBorder="1" applyAlignment="1">
      <alignment horizontal="left"/>
    </xf>
    <xf numFmtId="0" fontId="3" fillId="12" borderId="2" xfId="0" applyFont="1" applyFill="1" applyBorder="1" applyAlignment="1">
      <alignment horizontal="left"/>
    </xf>
    <xf numFmtId="0" fontId="1" fillId="14" borderId="1" xfId="0" applyFont="1" applyFill="1" applyBorder="1" applyAlignment="1">
      <alignment horizontal="left"/>
    </xf>
    <xf numFmtId="0" fontId="3" fillId="14" borderId="1" xfId="0" applyFont="1" applyFill="1" applyBorder="1" applyAlignment="1">
      <alignment horizontal="left"/>
    </xf>
    <xf numFmtId="0" fontId="45" fillId="6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5" fillId="6" borderId="2" xfId="0" applyFont="1" applyFill="1" applyBorder="1" applyAlignment="1">
      <alignment horizontal="left" vertical="center"/>
    </xf>
    <xf numFmtId="0" fontId="1" fillId="15" borderId="1" xfId="0" applyFont="1" applyFill="1" applyBorder="1" applyAlignment="1">
      <alignment horizontal="left"/>
    </xf>
    <xf numFmtId="0" fontId="1" fillId="16" borderId="1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1" fillId="10" borderId="3" xfId="0" applyFont="1" applyFill="1" applyBorder="1" applyAlignment="1">
      <alignment horizontal="left"/>
    </xf>
    <xf numFmtId="0" fontId="1" fillId="17" borderId="1" xfId="0" applyFont="1" applyFill="1" applyBorder="1" applyAlignment="1">
      <alignment horizontal="left"/>
    </xf>
    <xf numFmtId="0" fontId="1" fillId="18" borderId="1" xfId="0" applyFont="1" applyFill="1" applyBorder="1" applyAlignment="1">
      <alignment horizontal="left"/>
    </xf>
    <xf numFmtId="0" fontId="1" fillId="18" borderId="2" xfId="0" applyFont="1" applyFill="1" applyBorder="1" applyAlignment="1">
      <alignment horizontal="left"/>
    </xf>
    <xf numFmtId="0" fontId="1" fillId="10" borderId="0" xfId="0" applyFont="1" applyFill="1" applyAlignment="1">
      <alignment horizontal="left"/>
    </xf>
    <xf numFmtId="0" fontId="2" fillId="6" borderId="0" xfId="0" applyFont="1" applyFill="1" applyAlignment="1">
      <alignment horizontal="left" vertical="center"/>
    </xf>
    <xf numFmtId="0" fontId="2" fillId="6" borderId="0" xfId="0" applyNumberFormat="1" applyFont="1" applyFill="1" applyAlignment="1">
      <alignment horizontal="left" vertical="center"/>
    </xf>
    <xf numFmtId="0" fontId="3" fillId="15" borderId="1" xfId="0" applyFont="1" applyFill="1" applyBorder="1" applyAlignment="1">
      <alignment horizontal="left"/>
    </xf>
    <xf numFmtId="0" fontId="3" fillId="16" borderId="1" xfId="0" applyFont="1" applyFill="1" applyBorder="1" applyAlignment="1">
      <alignment horizontal="left"/>
    </xf>
    <xf numFmtId="0" fontId="3" fillId="9" borderId="2" xfId="0" applyFont="1" applyFill="1" applyBorder="1" applyAlignment="1">
      <alignment horizontal="left"/>
    </xf>
    <xf numFmtId="0" fontId="3" fillId="10" borderId="3" xfId="0" applyFont="1" applyFill="1" applyBorder="1" applyAlignment="1">
      <alignment horizontal="left"/>
    </xf>
    <xf numFmtId="0" fontId="3" fillId="17" borderId="1" xfId="0" applyFont="1" applyFill="1" applyBorder="1" applyAlignment="1">
      <alignment horizontal="left"/>
    </xf>
    <xf numFmtId="0" fontId="3" fillId="18" borderId="1" xfId="0" applyFont="1" applyFill="1" applyBorder="1" applyAlignment="1">
      <alignment horizontal="left"/>
    </xf>
    <xf numFmtId="0" fontId="3" fillId="18" borderId="2" xfId="0" applyFont="1" applyFill="1" applyBorder="1" applyAlignment="1">
      <alignment horizontal="left"/>
    </xf>
    <xf numFmtId="0" fontId="53" fillId="19" borderId="4" xfId="0" applyFont="1" applyFill="1" applyBorder="1" applyAlignment="1">
      <alignment horizontal="left"/>
    </xf>
    <xf numFmtId="0" fontId="53" fillId="19" borderId="3" xfId="0" applyFont="1" applyFill="1" applyBorder="1" applyAlignment="1">
      <alignment horizontal="left"/>
    </xf>
    <xf numFmtId="0" fontId="53" fillId="9" borderId="1" xfId="0" applyFont="1" applyFill="1" applyBorder="1" applyAlignment="1">
      <alignment horizontal="left"/>
    </xf>
    <xf numFmtId="0" fontId="53" fillId="9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/>
    </xf>
    <xf numFmtId="0" fontId="53" fillId="14" borderId="1" xfId="0" applyFont="1" applyFill="1" applyBorder="1" applyAlignment="1">
      <alignment horizontal="left"/>
    </xf>
    <xf numFmtId="0" fontId="1" fillId="19" borderId="4" xfId="0" applyFont="1" applyFill="1" applyBorder="1" applyAlignment="1">
      <alignment horizontal="left"/>
    </xf>
    <xf numFmtId="0" fontId="1" fillId="19" borderId="3" xfId="0" applyFont="1" applyFill="1" applyBorder="1" applyAlignment="1">
      <alignment horizontal="left"/>
    </xf>
    <xf numFmtId="0" fontId="53" fillId="0" borderId="0" xfId="0" applyFont="1" applyAlignment="1">
      <alignment horizontal="left" vertical="center"/>
    </xf>
    <xf numFmtId="0" fontId="3" fillId="20" borderId="1" xfId="0" applyFont="1" applyFill="1" applyBorder="1" applyAlignment="1">
      <alignment horizontal="left" vertical="center"/>
    </xf>
    <xf numFmtId="0" fontId="3" fillId="20" borderId="5" xfId="0" applyFont="1" applyFill="1" applyBorder="1" applyAlignment="1">
      <alignment horizontal="left" vertical="center"/>
    </xf>
    <xf numFmtId="0" fontId="3" fillId="12" borderId="1" xfId="0" applyFont="1" applyFill="1" applyBorder="1" applyAlignment="1">
      <alignment horizontal="left" vertical="center"/>
    </xf>
    <xf numFmtId="0" fontId="3" fillId="10" borderId="1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left" vertical="center"/>
    </xf>
    <xf numFmtId="0" fontId="3" fillId="19" borderId="3" xfId="0" applyFont="1" applyFill="1" applyBorder="1" applyAlignment="1">
      <alignment horizontal="left" vertical="center"/>
    </xf>
    <xf numFmtId="0" fontId="2" fillId="6" borderId="0" xfId="0" applyFont="1" applyFill="1" applyAlignment="1">
      <alignment horizontal="left" vertical="top"/>
    </xf>
    <xf numFmtId="0" fontId="53" fillId="20" borderId="5" xfId="0" applyFont="1" applyFill="1" applyBorder="1" applyAlignment="1">
      <alignment horizontal="left" vertical="center"/>
    </xf>
    <xf numFmtId="0" fontId="53" fillId="12" borderId="1" xfId="0" applyFont="1" applyFill="1" applyBorder="1" applyAlignment="1">
      <alignment horizontal="left" vertical="center"/>
    </xf>
    <xf numFmtId="0" fontId="53" fillId="10" borderId="1" xfId="0" applyFont="1" applyFill="1" applyBorder="1" applyAlignment="1">
      <alignment horizontal="left" vertical="center"/>
    </xf>
    <xf numFmtId="0" fontId="53" fillId="12" borderId="2" xfId="0" applyFont="1" applyFill="1" applyBorder="1" applyAlignment="1">
      <alignment horizontal="left" vertical="center"/>
    </xf>
    <xf numFmtId="0" fontId="53" fillId="19" borderId="3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/>
    </xf>
    <xf numFmtId="0" fontId="54" fillId="0" borderId="0" xfId="0" applyFont="1" applyAlignment="1">
      <alignment horizontal="left"/>
    </xf>
    <xf numFmtId="0" fontId="53" fillId="0" borderId="0" xfId="0" applyFont="1" applyBorder="1" applyAlignment="1">
      <alignment horizontal="left" vertical="center"/>
    </xf>
    <xf numFmtId="0" fontId="53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56" fillId="0" borderId="1" xfId="0" applyFont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53" fillId="21" borderId="2" xfId="0" applyFont="1" applyFill="1" applyBorder="1" applyAlignment="1">
      <alignment horizontal="left" vertical="center"/>
    </xf>
    <xf numFmtId="0" fontId="53" fillId="22" borderId="4" xfId="0" applyFont="1" applyFill="1" applyBorder="1" applyAlignment="1">
      <alignment horizontal="left" vertical="center"/>
    </xf>
    <xf numFmtId="0" fontId="53" fillId="23" borderId="6" xfId="0" applyFont="1" applyFill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21" borderId="2" xfId="0" applyFont="1" applyFill="1" applyBorder="1" applyAlignment="1">
      <alignment horizontal="left"/>
    </xf>
    <xf numFmtId="0" fontId="1" fillId="22" borderId="4" xfId="0" applyFont="1" applyFill="1" applyBorder="1" applyAlignment="1">
      <alignment horizontal="left"/>
    </xf>
    <xf numFmtId="0" fontId="53" fillId="23" borderId="1" xfId="0" applyFont="1" applyFill="1" applyBorder="1" applyAlignment="1">
      <alignment horizontal="left" vertical="center"/>
    </xf>
    <xf numFmtId="0" fontId="53" fillId="23" borderId="2" xfId="0" applyFont="1" applyFill="1" applyBorder="1" applyAlignment="1">
      <alignment horizontal="left" vertical="center"/>
    </xf>
    <xf numFmtId="0" fontId="53" fillId="24" borderId="4" xfId="0" applyFont="1" applyFill="1" applyBorder="1" applyAlignment="1">
      <alignment horizontal="left" vertical="center"/>
    </xf>
    <xf numFmtId="0" fontId="53" fillId="25" borderId="6" xfId="0" applyFont="1" applyFill="1" applyBorder="1" applyAlignment="1">
      <alignment horizontal="left" vertical="center"/>
    </xf>
    <xf numFmtId="0" fontId="53" fillId="25" borderId="1" xfId="0" applyFont="1" applyFill="1" applyBorder="1" applyAlignment="1">
      <alignment horizontal="left" vertical="center"/>
    </xf>
    <xf numFmtId="0" fontId="53" fillId="26" borderId="1" xfId="0" applyFont="1" applyFill="1" applyBorder="1" applyAlignment="1">
      <alignment horizontal="left" vertical="center"/>
    </xf>
    <xf numFmtId="0" fontId="53" fillId="18" borderId="1" xfId="0" applyFont="1" applyFill="1" applyBorder="1" applyAlignment="1">
      <alignment horizontal="left" vertical="center"/>
    </xf>
    <xf numFmtId="0" fontId="3" fillId="18" borderId="1" xfId="0" applyFont="1" applyFill="1" applyBorder="1" applyAlignment="1">
      <alignment horizontal="left" vertical="center"/>
    </xf>
    <xf numFmtId="0" fontId="53" fillId="24" borderId="1" xfId="0" applyFont="1" applyFill="1" applyBorder="1" applyAlignment="1">
      <alignment horizontal="left" vertical="center"/>
    </xf>
    <xf numFmtId="0" fontId="53" fillId="22" borderId="1" xfId="0" applyFont="1" applyFill="1" applyBorder="1" applyAlignment="1">
      <alignment horizontal="left" vertical="center"/>
    </xf>
    <xf numFmtId="0" fontId="53" fillId="27" borderId="1" xfId="0" applyFont="1" applyFill="1" applyBorder="1" applyAlignment="1">
      <alignment horizontal="left" vertical="center"/>
    </xf>
    <xf numFmtId="0" fontId="1" fillId="27" borderId="1" xfId="0" applyFont="1" applyFill="1" applyBorder="1" applyAlignment="1">
      <alignment horizontal="left"/>
    </xf>
    <xf numFmtId="0" fontId="53" fillId="28" borderId="1" xfId="0" applyFont="1" applyFill="1" applyBorder="1" applyAlignment="1">
      <alignment horizontal="left" vertical="center"/>
    </xf>
    <xf numFmtId="0" fontId="1" fillId="28" borderId="1" xfId="0" applyFont="1" applyFill="1" applyBorder="1" applyAlignment="1">
      <alignment horizontal="left" vertical="center"/>
    </xf>
    <xf numFmtId="0" fontId="53" fillId="29" borderId="1" xfId="0" applyFont="1" applyFill="1" applyBorder="1" applyAlignment="1">
      <alignment horizontal="left" vertical="center"/>
    </xf>
    <xf numFmtId="0" fontId="1" fillId="29" borderId="1" xfId="0" applyFont="1" applyFill="1" applyBorder="1" applyAlignment="1">
      <alignment horizontal="left" vertical="center"/>
    </xf>
    <xf numFmtId="0" fontId="1" fillId="28" borderId="1" xfId="0" applyFont="1" applyFill="1" applyBorder="1" applyAlignment="1">
      <alignment horizontal="left"/>
    </xf>
    <xf numFmtId="0" fontId="53" fillId="16" borderId="1" xfId="0" applyFont="1" applyFill="1" applyBorder="1" applyAlignment="1">
      <alignment horizontal="left" vertical="center"/>
    </xf>
    <xf numFmtId="0" fontId="3" fillId="16" borderId="1" xfId="0" applyFont="1" applyFill="1" applyBorder="1" applyAlignment="1">
      <alignment horizontal="left" vertical="center"/>
    </xf>
    <xf numFmtId="0" fontId="58" fillId="0" borderId="0" xfId="0" applyFont="1" applyAlignment="1">
      <alignment horizontal="left"/>
    </xf>
    <xf numFmtId="0" fontId="59" fillId="30" borderId="1" xfId="0" applyFont="1" applyFill="1" applyBorder="1" applyAlignment="1">
      <alignment horizontal="left" vertical="center"/>
    </xf>
    <xf numFmtId="0" fontId="54" fillId="30" borderId="1" xfId="0" applyFont="1" applyFill="1" applyBorder="1" applyAlignment="1">
      <alignment horizontal="left" vertical="center"/>
    </xf>
    <xf numFmtId="0" fontId="1" fillId="31" borderId="1" xfId="0" applyFont="1" applyFill="1" applyBorder="1"/>
    <xf numFmtId="0" fontId="1" fillId="29" borderId="1" xfId="0" applyFont="1" applyFill="1" applyBorder="1" applyAlignment="1">
      <alignment horizontal="left"/>
    </xf>
    <xf numFmtId="0" fontId="54" fillId="30" borderId="1" xfId="0" applyFont="1" applyFill="1" applyBorder="1" applyAlignment="1">
      <alignment horizontal="left"/>
    </xf>
    <xf numFmtId="0" fontId="59" fillId="21" borderId="1" xfId="0" applyFont="1" applyFill="1" applyBorder="1" applyAlignment="1">
      <alignment horizontal="left" vertical="center"/>
    </xf>
    <xf numFmtId="0" fontId="53" fillId="30" borderId="1" xfId="0" applyFont="1" applyFill="1" applyBorder="1" applyAlignment="1">
      <alignment horizontal="left" vertical="center"/>
    </xf>
    <xf numFmtId="0" fontId="3" fillId="31" borderId="1" xfId="0" applyFont="1" applyFill="1" applyBorder="1" applyAlignment="1">
      <alignment horizontal="left"/>
    </xf>
    <xf numFmtId="0" fontId="59" fillId="16" borderId="1" xfId="0" applyFont="1" applyFill="1" applyBorder="1" applyAlignment="1">
      <alignment horizontal="left" vertical="center"/>
    </xf>
    <xf numFmtId="0" fontId="54" fillId="16" borderId="1" xfId="0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54" fillId="0" borderId="1" xfId="0" applyFont="1" applyFill="1" applyBorder="1" applyAlignment="1">
      <alignment horizontal="left"/>
    </xf>
    <xf numFmtId="0" fontId="45" fillId="5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 vertical="center"/>
    </xf>
    <xf numFmtId="0" fontId="58" fillId="0" borderId="1" xfId="0" applyFont="1" applyFill="1" applyBorder="1" applyAlignment="1">
      <alignment horizontal="left" vertical="center"/>
    </xf>
    <xf numFmtId="0" fontId="54" fillId="0" borderId="1" xfId="0" applyFont="1" applyFill="1" applyBorder="1" applyAlignment="1">
      <alignment horizontal="left" vertical="center"/>
    </xf>
    <xf numFmtId="0" fontId="60" fillId="23" borderId="4" xfId="0" applyFont="1" applyFill="1" applyBorder="1" applyAlignment="1">
      <alignment horizontal="left"/>
    </xf>
    <xf numFmtId="0" fontId="60" fillId="0" borderId="4" xfId="0" applyFont="1" applyBorder="1" applyAlignment="1">
      <alignment horizontal="left"/>
    </xf>
    <xf numFmtId="0" fontId="61" fillId="0" borderId="4" xfId="0" applyFont="1" applyBorder="1" applyAlignment="1">
      <alignment horizontal="left"/>
    </xf>
    <xf numFmtId="0" fontId="60" fillId="0" borderId="4" xfId="0" applyFont="1" applyBorder="1" applyAlignment="1">
      <alignment horizontal="left" vertical="center"/>
    </xf>
    <xf numFmtId="0" fontId="61" fillId="0" borderId="4" xfId="0" applyFont="1" applyBorder="1" applyAlignment="1">
      <alignment horizontal="left" vertical="center"/>
    </xf>
    <xf numFmtId="0" fontId="64" fillId="5" borderId="4" xfId="0" applyFont="1" applyFill="1" applyBorder="1" applyAlignment="1">
      <alignment horizontal="left" vertical="center"/>
    </xf>
    <xf numFmtId="0" fontId="64" fillId="6" borderId="4" xfId="0" applyFont="1" applyFill="1" applyBorder="1" applyAlignment="1">
      <alignment horizontal="left" vertical="center"/>
    </xf>
    <xf numFmtId="0" fontId="65" fillId="6" borderId="4" xfId="0" applyFont="1" applyFill="1" applyBorder="1" applyAlignment="1">
      <alignment horizontal="left" vertical="center"/>
    </xf>
    <xf numFmtId="0" fontId="60" fillId="0" borderId="4" xfId="0" applyFont="1" applyFill="1" applyBorder="1" applyAlignment="1">
      <alignment horizontal="left" vertical="center"/>
    </xf>
    <xf numFmtId="0" fontId="66" fillId="0" borderId="4" xfId="0" applyFont="1" applyFill="1" applyBorder="1" applyAlignment="1">
      <alignment horizontal="left" vertical="center"/>
    </xf>
    <xf numFmtId="0" fontId="61" fillId="0" borderId="4" xfId="0" applyFont="1" applyFill="1" applyBorder="1" applyAlignment="1">
      <alignment horizontal="left" vertical="center"/>
    </xf>
    <xf numFmtId="0" fontId="66" fillId="7" borderId="4" xfId="0" applyFont="1" applyFill="1" applyBorder="1" applyAlignment="1">
      <alignment horizontal="left" vertical="center"/>
    </xf>
    <xf numFmtId="0" fontId="67" fillId="7" borderId="4" xfId="0" applyFont="1" applyFill="1" applyBorder="1" applyAlignment="1">
      <alignment horizontal="left" vertical="center"/>
    </xf>
    <xf numFmtId="0" fontId="68" fillId="7" borderId="4" xfId="0" applyFont="1" applyFill="1" applyBorder="1" applyAlignment="1">
      <alignment horizontal="left" vertical="center"/>
    </xf>
    <xf numFmtId="0" fontId="60" fillId="0" borderId="4" xfId="0" applyFont="1" applyFill="1" applyBorder="1" applyAlignment="1">
      <alignment horizontal="left"/>
    </xf>
    <xf numFmtId="0" fontId="67" fillId="0" borderId="4" xfId="0" applyFont="1" applyFill="1" applyBorder="1" applyAlignment="1">
      <alignment horizontal="left" vertical="center"/>
    </xf>
    <xf numFmtId="0" fontId="69" fillId="0" borderId="4" xfId="0" applyFont="1" applyFill="1" applyBorder="1" applyAlignment="1">
      <alignment horizontal="left" vertical="center"/>
    </xf>
    <xf numFmtId="0" fontId="68" fillId="0" borderId="4" xfId="0" applyFont="1" applyFill="1" applyBorder="1" applyAlignment="1">
      <alignment horizontal="left" vertical="center"/>
    </xf>
    <xf numFmtId="0" fontId="66" fillId="23" borderId="4" xfId="0" applyFont="1" applyFill="1" applyBorder="1" applyAlignment="1">
      <alignment horizontal="left" vertical="center"/>
    </xf>
    <xf numFmtId="0" fontId="69" fillId="23" borderId="4" xfId="0" applyFont="1" applyFill="1" applyBorder="1" applyAlignment="1">
      <alignment horizontal="left" vertical="center"/>
    </xf>
    <xf numFmtId="0" fontId="61" fillId="23" borderId="4" xfId="0" applyFont="1" applyFill="1" applyBorder="1" applyAlignment="1">
      <alignment horizontal="left"/>
    </xf>
    <xf numFmtId="0" fontId="67" fillId="0" borderId="4" xfId="0" applyFont="1" applyBorder="1" applyAlignment="1">
      <alignment horizontal="left"/>
    </xf>
    <xf numFmtId="0" fontId="68" fillId="0" borderId="4" xfId="0" applyFont="1" applyBorder="1" applyAlignment="1">
      <alignment horizontal="left"/>
    </xf>
    <xf numFmtId="0" fontId="67" fillId="0" borderId="4" xfId="0" applyNumberFormat="1" applyFont="1" applyBorder="1" applyAlignment="1">
      <alignment horizontal="left"/>
    </xf>
    <xf numFmtId="0" fontId="67" fillId="0" borderId="4" xfId="0" applyNumberFormat="1" applyFont="1" applyBorder="1" applyAlignment="1">
      <alignment horizontal="left" vertical="center"/>
    </xf>
    <xf numFmtId="0" fontId="68" fillId="0" borderId="4" xfId="0" applyNumberFormat="1" applyFont="1" applyBorder="1" applyAlignment="1">
      <alignment horizontal="left" vertical="center"/>
    </xf>
    <xf numFmtId="0" fontId="66" fillId="0" borderId="4" xfId="0" applyNumberFormat="1" applyFont="1" applyBorder="1" applyAlignment="1">
      <alignment horizontal="left" vertical="center"/>
    </xf>
    <xf numFmtId="0" fontId="60" fillId="7" borderId="4" xfId="0" applyFont="1" applyFill="1" applyBorder="1" applyAlignment="1">
      <alignment horizontal="left" vertical="center"/>
    </xf>
    <xf numFmtId="0" fontId="60" fillId="23" borderId="4" xfId="0" applyFont="1" applyFill="1" applyBorder="1" applyAlignment="1">
      <alignment horizontal="left" vertical="center"/>
    </xf>
    <xf numFmtId="0" fontId="66" fillId="0" borderId="4" xfId="0" applyFont="1" applyBorder="1" applyAlignment="1">
      <alignment horizontal="left" vertical="center"/>
    </xf>
    <xf numFmtId="0" fontId="67" fillId="23" borderId="4" xfId="0" applyNumberFormat="1" applyFont="1" applyFill="1" applyBorder="1" applyAlignment="1">
      <alignment horizontal="left"/>
    </xf>
    <xf numFmtId="0" fontId="67" fillId="23" borderId="4" xfId="0" applyNumberFormat="1" applyFont="1" applyFill="1" applyBorder="1" applyAlignment="1">
      <alignment horizontal="left" vertical="center"/>
    </xf>
    <xf numFmtId="0" fontId="68" fillId="23" borderId="4" xfId="0" applyNumberFormat="1" applyFont="1" applyFill="1" applyBorder="1" applyAlignment="1">
      <alignment horizontal="left" vertical="center"/>
    </xf>
    <xf numFmtId="0" fontId="68" fillId="23" borderId="4" xfId="0" applyFont="1" applyFill="1" applyBorder="1" applyAlignment="1">
      <alignment horizontal="left"/>
    </xf>
    <xf numFmtId="0" fontId="67" fillId="32" borderId="4" xfId="0" applyFont="1" applyFill="1" applyBorder="1" applyAlignment="1">
      <alignment horizontal="left" vertical="center"/>
    </xf>
    <xf numFmtId="0" fontId="68" fillId="32" borderId="4" xfId="0" applyFont="1" applyFill="1" applyBorder="1" applyAlignment="1">
      <alignment horizontal="left" vertical="center"/>
    </xf>
    <xf numFmtId="0" fontId="67" fillId="23" borderId="4" xfId="0" applyFont="1" applyFill="1" applyBorder="1" applyAlignment="1">
      <alignment horizontal="left" vertical="center"/>
    </xf>
    <xf numFmtId="0" fontId="68" fillId="23" borderId="4" xfId="0" applyFont="1" applyFill="1" applyBorder="1" applyAlignment="1">
      <alignment horizontal="left" vertical="center"/>
    </xf>
    <xf numFmtId="0" fontId="66" fillId="23" borderId="4" xfId="0" applyNumberFormat="1" applyFont="1" applyFill="1" applyBorder="1" applyAlignment="1">
      <alignment horizontal="left" vertical="center"/>
    </xf>
    <xf numFmtId="0" fontId="1" fillId="0" borderId="1" xfId="0" applyFont="1" applyBorder="1"/>
    <xf numFmtId="0" fontId="45" fillId="5" borderId="1" xfId="0" applyNumberFormat="1" applyFont="1" applyFill="1" applyBorder="1" applyAlignment="1">
      <alignment horizontal="left" vertical="center"/>
    </xf>
    <xf numFmtId="0" fontId="1" fillId="0" borderId="1" xfId="0" applyNumberFormat="1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left" vertical="center"/>
    </xf>
    <xf numFmtId="0" fontId="1" fillId="0" borderId="1" xfId="0" applyNumberFormat="1" applyFont="1" applyFill="1" applyBorder="1" applyAlignment="1">
      <alignment horizontal="left" vertical="center"/>
    </xf>
    <xf numFmtId="49" fontId="1" fillId="0" borderId="1" xfId="0" applyNumberFormat="1" applyFont="1" applyFill="1" applyBorder="1" applyAlignment="1">
      <alignment horizontal="left" vertical="center"/>
    </xf>
    <xf numFmtId="0" fontId="47" fillId="0" borderId="1" xfId="0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70" fillId="5" borderId="1" xfId="0" applyFont="1" applyFill="1" applyBorder="1" applyAlignment="1">
      <alignment horizontal="left" vertical="center"/>
    </xf>
    <xf numFmtId="0" fontId="1" fillId="0" borderId="1" xfId="0" applyFont="1" applyFill="1" applyBorder="1"/>
    <xf numFmtId="0" fontId="64" fillId="5" borderId="0" xfId="0" applyFont="1" applyFill="1" applyAlignment="1">
      <alignment horizontal="left" vertical="center"/>
    </xf>
    <xf numFmtId="0" fontId="60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0" fillId="0" borderId="0" xfId="0" applyFont="1" applyAlignment="1">
      <alignment horizontal="left"/>
    </xf>
    <xf numFmtId="0" fontId="71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2" fillId="0" borderId="0" xfId="0" applyFont="1" applyAlignment="1">
      <alignment horizontal="left"/>
    </xf>
    <xf numFmtId="0" fontId="40" fillId="0" borderId="0" xfId="0" applyFont="1" applyFill="1" applyBorder="1" applyAlignment="1">
      <alignment horizontal="left" vertical="center"/>
    </xf>
    <xf numFmtId="0" fontId="72" fillId="5" borderId="0" xfId="0" applyFont="1" applyFill="1"/>
    <xf numFmtId="0" fontId="72" fillId="0" borderId="0" xfId="0" applyFont="1"/>
    <xf numFmtId="0" fontId="73" fillId="5" borderId="0" xfId="0" applyFont="1" applyFill="1"/>
    <xf numFmtId="0" fontId="74" fillId="5" borderId="7" xfId="0" applyFont="1" applyFill="1" applyBorder="1" applyAlignment="1">
      <alignment horizontal="left" vertical="center"/>
    </xf>
    <xf numFmtId="0" fontId="75" fillId="5" borderId="0" xfId="0" applyFont="1" applyFill="1" applyAlignment="1">
      <alignment horizontal="left" vertical="center"/>
    </xf>
    <xf numFmtId="0" fontId="75" fillId="33" borderId="0" xfId="0" applyFont="1" applyFill="1" applyAlignment="1">
      <alignment horizontal="left" vertical="center"/>
    </xf>
    <xf numFmtId="0" fontId="76" fillId="5" borderId="0" xfId="0" applyFont="1" applyFill="1" applyAlignment="1">
      <alignment horizontal="left" vertical="center"/>
    </xf>
    <xf numFmtId="0" fontId="77" fillId="0" borderId="0" xfId="0" applyFont="1" applyFill="1" applyAlignment="1">
      <alignment horizontal="left" vertical="center"/>
    </xf>
    <xf numFmtId="0" fontId="78" fillId="5" borderId="0" xfId="0" applyFont="1" applyFill="1" applyAlignment="1">
      <alignment horizontal="left" vertical="center"/>
    </xf>
    <xf numFmtId="0" fontId="77" fillId="0" borderId="0" xfId="0" applyFont="1" applyFill="1"/>
    <xf numFmtId="0" fontId="79" fillId="5" borderId="0" xfId="0" applyFont="1" applyFill="1" applyAlignment="1">
      <alignment horizontal="left" vertical="center"/>
    </xf>
    <xf numFmtId="0" fontId="80" fillId="33" borderId="0" xfId="0" applyFont="1" applyFill="1" applyAlignment="1">
      <alignment horizontal="left" vertical="center"/>
    </xf>
    <xf numFmtId="0" fontId="81" fillId="5" borderId="0" xfId="0" applyFont="1" applyFill="1" applyAlignment="1">
      <alignment horizontal="left" vertical="center"/>
    </xf>
    <xf numFmtId="0" fontId="79" fillId="33" borderId="0" xfId="0" applyFont="1" applyFill="1" applyAlignment="1">
      <alignment horizontal="left" vertical="center"/>
    </xf>
    <xf numFmtId="0" fontId="79" fillId="33" borderId="0" xfId="0" applyFont="1" applyFill="1" applyAlignment="1">
      <alignment horizontal="left" vertical="center" wrapText="1"/>
    </xf>
    <xf numFmtId="0" fontId="82" fillId="0" borderId="0" xfId="0" applyFont="1"/>
    <xf numFmtId="0" fontId="83" fillId="0" borderId="0" xfId="0" applyFont="1"/>
    <xf numFmtId="0" fontId="84" fillId="0" borderId="0" xfId="32"/>
    <xf numFmtId="0" fontId="84" fillId="0" borderId="0" xfId="32" applyAlignment="1">
      <alignment wrapText="1"/>
    </xf>
    <xf numFmtId="0" fontId="85" fillId="5" borderId="0" xfId="32" applyFont="1" applyFill="1" applyAlignment="1">
      <alignment horizontal="center" vertical="center" wrapText="1"/>
    </xf>
    <xf numFmtId="0" fontId="86" fillId="0" borderId="0" xfId="32" applyFont="1" applyAlignment="1">
      <alignment vertical="top"/>
    </xf>
    <xf numFmtId="0" fontId="84" fillId="0" borderId="0" xfId="32" applyAlignment="1">
      <alignment horizontal="left"/>
    </xf>
    <xf numFmtId="0" fontId="71" fillId="0" borderId="0" xfId="0" quotePrefix="1" applyFont="1" applyAlignment="1">
      <alignment horizontal="left" vertical="center"/>
    </xf>
    <xf numFmtId="0" fontId="32" fillId="0" borderId="0" xfId="0" quotePrefix="1" applyFont="1" applyAlignment="1">
      <alignment horizontal="left" vertical="center"/>
    </xf>
    <xf numFmtId="0" fontId="1" fillId="0" borderId="1" xfId="0" quotePrefix="1" applyFont="1" applyFill="1" applyBorder="1" applyAlignment="1">
      <alignment horizontal="left" vertical="center"/>
    </xf>
    <xf numFmtId="0" fontId="66" fillId="0" borderId="4" xfId="0" quotePrefix="1" applyFont="1" applyFill="1" applyBorder="1" applyAlignment="1">
      <alignment horizontal="left" vertical="center"/>
    </xf>
    <xf numFmtId="0" fontId="66" fillId="7" borderId="4" xfId="0" quotePrefix="1" applyFont="1" applyFill="1" applyBorder="1" applyAlignment="1">
      <alignment horizontal="left" vertical="center"/>
    </xf>
    <xf numFmtId="0" fontId="66" fillId="23" borderId="4" xfId="0" quotePrefix="1" applyFont="1" applyFill="1" applyBorder="1" applyAlignment="1">
      <alignment horizontal="left" vertical="center"/>
    </xf>
    <xf numFmtId="0" fontId="60" fillId="0" borderId="4" xfId="0" quotePrefix="1" applyFont="1" applyBorder="1" applyAlignment="1">
      <alignment horizontal="left"/>
    </xf>
    <xf numFmtId="0" fontId="67" fillId="32" borderId="4" xfId="0" quotePrefix="1" applyFont="1" applyFill="1" applyBorder="1" applyAlignment="1">
      <alignment horizontal="left" vertical="center"/>
    </xf>
    <xf numFmtId="0" fontId="54" fillId="0" borderId="1" xfId="0" quotePrefix="1" applyFont="1" applyFill="1" applyBorder="1" applyAlignment="1">
      <alignment horizontal="left" vertical="center"/>
    </xf>
    <xf numFmtId="0" fontId="1" fillId="0" borderId="1" xfId="0" quotePrefix="1" applyFont="1" applyBorder="1" applyAlignment="1">
      <alignment horizontal="left" vertical="center"/>
    </xf>
    <xf numFmtId="0" fontId="53" fillId="0" borderId="1" xfId="0" quotePrefix="1" applyFont="1" applyBorder="1" applyAlignment="1">
      <alignment horizontal="left" vertical="center"/>
    </xf>
    <xf numFmtId="188" fontId="3" fillId="0" borderId="0" xfId="0" quotePrefix="1" applyNumberFormat="1" applyFont="1" applyFill="1" applyBorder="1" applyAlignment="1">
      <alignment horizontal="left" vertical="center"/>
    </xf>
    <xf numFmtId="0" fontId="3" fillId="7" borderId="0" xfId="0" quotePrefix="1" applyFont="1" applyFill="1" applyBorder="1" applyAlignment="1">
      <alignment horizontal="left" vertical="center"/>
    </xf>
    <xf numFmtId="0" fontId="3" fillId="7" borderId="0" xfId="0" quotePrefix="1" applyFont="1" applyFill="1" applyBorder="1"/>
    <xf numFmtId="0" fontId="1" fillId="8" borderId="1" xfId="0" quotePrefix="1" applyFont="1" applyFill="1" applyBorder="1" applyAlignment="1">
      <alignment horizontal="left"/>
    </xf>
    <xf numFmtId="0" fontId="1" fillId="9" borderId="1" xfId="0" quotePrefix="1" applyFont="1" applyFill="1" applyBorder="1" applyAlignment="1">
      <alignment horizontal="left"/>
    </xf>
    <xf numFmtId="0" fontId="1" fillId="10" borderId="1" xfId="0" quotePrefix="1" applyFont="1" applyFill="1" applyBorder="1" applyAlignment="1">
      <alignment horizontal="left"/>
    </xf>
    <xf numFmtId="0" fontId="1" fillId="11" borderId="1" xfId="0" quotePrefix="1" applyFont="1" applyFill="1" applyBorder="1" applyAlignment="1">
      <alignment horizontal="left"/>
    </xf>
    <xf numFmtId="0" fontId="1" fillId="12" borderId="1" xfId="0" quotePrefix="1" applyFont="1" applyFill="1" applyBorder="1" applyAlignment="1">
      <alignment horizontal="left"/>
    </xf>
    <xf numFmtId="0" fontId="1" fillId="13" borderId="3" xfId="0" quotePrefix="1" applyFont="1" applyFill="1" applyBorder="1" applyAlignment="1">
      <alignment horizontal="left"/>
    </xf>
    <xf numFmtId="0" fontId="30" fillId="5" borderId="0" xfId="0" applyFont="1" applyFill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45" fillId="5" borderId="1" xfId="0" applyNumberFormat="1" applyFont="1" applyFill="1" applyBorder="1" applyAlignment="1">
      <alignment horizontal="left" vertical="center"/>
    </xf>
    <xf numFmtId="0" fontId="45" fillId="5" borderId="1" xfId="0" applyFont="1" applyFill="1" applyBorder="1" applyAlignment="1">
      <alignment horizontal="left" vertical="center"/>
    </xf>
    <xf numFmtId="0" fontId="62" fillId="5" borderId="4" xfId="0" applyFont="1" applyFill="1" applyBorder="1" applyAlignment="1">
      <alignment horizontal="left" vertical="center"/>
    </xf>
    <xf numFmtId="0" fontId="63" fillId="5" borderId="4" xfId="0" applyFont="1" applyFill="1" applyBorder="1" applyAlignment="1">
      <alignment horizontal="left" vertical="center"/>
    </xf>
    <xf numFmtId="0" fontId="2" fillId="5" borderId="0" xfId="0" applyFont="1" applyFill="1" applyBorder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45" fillId="5" borderId="0" xfId="0" applyFont="1" applyFill="1" applyAlignment="1">
      <alignment horizontal="left" vertical="center"/>
    </xf>
    <xf numFmtId="0" fontId="45" fillId="5" borderId="0" xfId="0" applyFont="1" applyFill="1" applyBorder="1" applyAlignment="1">
      <alignment horizontal="left" vertical="center"/>
    </xf>
    <xf numFmtId="0" fontId="38" fillId="5" borderId="0" xfId="0" applyFont="1" applyFill="1" applyAlignment="1">
      <alignment horizontal="left" vertical="center"/>
    </xf>
    <xf numFmtId="0" fontId="39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5" fillId="5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left" vertical="center"/>
    </xf>
    <xf numFmtId="0" fontId="24" fillId="5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left" vertical="center"/>
    </xf>
    <xf numFmtId="0" fontId="21" fillId="5" borderId="0" xfId="0" applyFont="1" applyFill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2" fillId="2" borderId="0" xfId="0" applyNumberFormat="1" applyFont="1" applyFill="1" applyBorder="1" applyAlignment="1">
      <alignment horizontal="center" vertical="center"/>
    </xf>
    <xf numFmtId="0" fontId="112" fillId="0" borderId="0" xfId="32" applyFont="1" applyAlignment="1">
      <alignment wrapText="1"/>
    </xf>
  </cellXfs>
  <cellStyles count="35">
    <cellStyle name="Normal" xfId="0" builtinId="0"/>
    <cellStyle name="Normal 10" xfId="24"/>
    <cellStyle name="Normal 2" xfId="32"/>
    <cellStyle name="Normal 2 2" xfId="17"/>
    <cellStyle name="Normal 25" xfId="13"/>
    <cellStyle name="Normal 26" xfId="12"/>
    <cellStyle name="Normal 3" xfId="27"/>
    <cellStyle name="Normal 5" xfId="11"/>
    <cellStyle name="Normal 6" xfId="18"/>
    <cellStyle name="Normal 9" xfId="10"/>
    <cellStyle name="常规 2" xfId="8"/>
    <cellStyle name="常规 2 2" xfId="28"/>
    <cellStyle name="常规 2 2 2" xfId="26"/>
    <cellStyle name="常规 2 2_SPF2009_Schema_20101101" xfId="22"/>
    <cellStyle name="常规 2 3" xfId="31"/>
    <cellStyle name="常规 2 4" xfId="30"/>
    <cellStyle name="常规 2_SPF2009_Schema_20101101" xfId="9"/>
    <cellStyle name="常规 3" xfId="34"/>
    <cellStyle name="常规 3 2" xfId="15"/>
    <cellStyle name="常规 3 2 2" xfId="3"/>
    <cellStyle name="常规 3 2_SPF2009_Schema_20101101" xfId="23"/>
    <cellStyle name="常规 3 3" xfId="29"/>
    <cellStyle name="常规 3 4" xfId="14"/>
    <cellStyle name="常规 3_SPF2009_Schema_20101101" xfId="21"/>
    <cellStyle name="常规 4" xfId="7"/>
    <cellStyle name="常规 4 2" xfId="6"/>
    <cellStyle name="常规 4 2 2" xfId="1"/>
    <cellStyle name="常规 4 2_SPF2009_Schema_20101101" xfId="5"/>
    <cellStyle name="常规 4 3" xfId="25"/>
    <cellStyle name="常规 4_SPF2009_Schema_20101101" xfId="16"/>
    <cellStyle name="常规 5" xfId="2"/>
    <cellStyle name="常规 5 2" xfId="19"/>
    <cellStyle name="常规 5_SPF2009_Schema_20101101" xfId="4"/>
    <cellStyle name="常规 6" xfId="20"/>
    <cellStyle name="常规 7" xfId="33"/>
  </cellStyles>
  <dxfs count="5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866775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All Load Files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031-hierarch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31-proj"/>
      <sheetName val="1031-disc"/>
      <sheetName val="Sheet2"/>
      <sheetName val="1031-area"/>
      <sheetName val="1031-models"/>
      <sheetName val="1031-FLUIDs"/>
      <sheetName val="1031-EQP"/>
      <sheetName val="1031-PIDs"/>
      <sheetName val="1031-PIDs (SPE)"/>
      <sheetName val="1031-are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I9"/>
  <sheetViews>
    <sheetView tabSelected="1" zoomScale="115" zoomScaleNormal="115" workbookViewId="0">
      <selection activeCell="B10" sqref="B10"/>
    </sheetView>
  </sheetViews>
  <sheetFormatPr defaultColWidth="9.140625" defaultRowHeight="12.75"/>
  <cols>
    <col min="1" max="1" width="11.42578125" style="296" customWidth="1"/>
    <col min="2" max="2" width="86.42578125" style="297" customWidth="1"/>
    <col min="3" max="5" width="9.140625" style="296"/>
    <col min="6" max="6" width="12.42578125" style="296" customWidth="1"/>
    <col min="7" max="7" width="8.42578125" style="296" customWidth="1"/>
    <col min="8" max="9" width="8.140625" style="296" customWidth="1"/>
    <col min="10" max="16384" width="9.140625" style="296"/>
  </cols>
  <sheetData>
    <row r="1" spans="1:9" ht="37.5" customHeight="1">
      <c r="B1" s="298" t="s">
        <v>1156</v>
      </c>
    </row>
    <row r="4" spans="1:9">
      <c r="A4" s="299" t="s">
        <v>0</v>
      </c>
      <c r="B4" s="297" t="s">
        <v>1</v>
      </c>
    </row>
    <row r="6" spans="1:9" ht="25.5">
      <c r="A6" s="296" t="s">
        <v>2</v>
      </c>
      <c r="B6" s="343" t="s">
        <v>1157</v>
      </c>
      <c r="F6" s="296" t="s">
        <v>3</v>
      </c>
      <c r="G6" s="296" t="s">
        <v>4</v>
      </c>
      <c r="H6" s="296" t="s">
        <v>5</v>
      </c>
      <c r="I6" s="296" t="s">
        <v>6</v>
      </c>
    </row>
    <row r="7" spans="1:9" ht="25.5">
      <c r="A7" s="296" t="s">
        <v>7</v>
      </c>
      <c r="B7" s="343" t="s">
        <v>1158</v>
      </c>
      <c r="F7" s="296" t="s">
        <v>2</v>
      </c>
      <c r="G7" s="296" t="s">
        <v>7</v>
      </c>
      <c r="H7" s="296" t="s">
        <v>8</v>
      </c>
      <c r="I7" s="296" t="b">
        <v>1</v>
      </c>
    </row>
    <row r="8" spans="1:9">
      <c r="A8" s="296" t="s">
        <v>8</v>
      </c>
      <c r="B8" s="297" t="s">
        <v>1159</v>
      </c>
    </row>
    <row r="9" spans="1:9">
      <c r="A9" s="300" t="b">
        <v>0</v>
      </c>
    </row>
  </sheetData>
  <sheetProtection formatCells="0" insertHyperlinks="0" autoFilter="0"/>
  <dataValidations disablePrompts="1" count="4">
    <dataValidation type="list" allowBlank="1" showInputMessage="1" showErrorMessage="1" sqref="A9">
      <formula1>AllBoolean</formula1>
    </dataValidation>
    <dataValidation type="list" allowBlank="1" showInputMessage="1" showErrorMessage="1" sqref="A8">
      <formula1>AllFormats</formula1>
    </dataValidation>
    <dataValidation type="list" allowBlank="1" showInputMessage="1" showErrorMessage="1" sqref="A7">
      <formula1>AllScopes</formula1>
    </dataValidation>
    <dataValidation type="list" allowBlank="1" showInputMessage="1" showErrorMessage="1" sqref="A6">
      <formula1>AllSolutions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in.ExportAllLoadFiles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866775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03"/>
  <sheetViews>
    <sheetView topLeftCell="A37" zoomScale="130" zoomScaleNormal="130" workbookViewId="0">
      <selection activeCell="B65" sqref="B65"/>
    </sheetView>
  </sheetViews>
  <sheetFormatPr defaultColWidth="8.85546875" defaultRowHeight="14.25"/>
  <cols>
    <col min="1" max="1" width="68.42578125" style="280" customWidth="1"/>
    <col min="2" max="2" width="51.42578125" style="280" customWidth="1"/>
    <col min="3" max="3" width="15" style="280" customWidth="1"/>
    <col min="4" max="4" width="149.42578125" style="280" customWidth="1"/>
    <col min="5" max="16384" width="8.85546875" style="280"/>
  </cols>
  <sheetData>
    <row r="1" spans="1:8" s="279" customFormat="1" ht="23.25">
      <c r="A1" s="281" t="s">
        <v>9</v>
      </c>
    </row>
    <row r="3" spans="1:8">
      <c r="A3" s="282" t="s">
        <v>10</v>
      </c>
      <c r="B3" s="282" t="s">
        <v>11</v>
      </c>
      <c r="C3" s="282" t="s">
        <v>12</v>
      </c>
      <c r="D3" s="282" t="s">
        <v>13</v>
      </c>
      <c r="E3" s="282" t="s">
        <v>14</v>
      </c>
      <c r="F3" s="282" t="s">
        <v>15</v>
      </c>
      <c r="G3" s="282" t="s">
        <v>16</v>
      </c>
      <c r="H3" s="282" t="s">
        <v>17</v>
      </c>
    </row>
    <row r="4" spans="1:8">
      <c r="A4" s="283" t="s">
        <v>18</v>
      </c>
      <c r="B4" s="284" t="s">
        <v>18</v>
      </c>
      <c r="C4" s="284" t="s">
        <v>19</v>
      </c>
      <c r="D4" s="284" t="s">
        <v>20</v>
      </c>
      <c r="E4" s="286"/>
      <c r="F4" s="286"/>
      <c r="G4" s="286"/>
      <c r="H4" s="286"/>
    </row>
    <row r="5" spans="1:8">
      <c r="A5" s="283" t="s">
        <v>21</v>
      </c>
      <c r="B5" s="284" t="s">
        <v>21</v>
      </c>
      <c r="C5" s="284" t="s">
        <v>19</v>
      </c>
      <c r="D5" s="284" t="s">
        <v>22</v>
      </c>
      <c r="E5" s="286"/>
      <c r="F5" s="286"/>
      <c r="G5" s="286"/>
      <c r="H5" s="286"/>
    </row>
    <row r="6" spans="1:8">
      <c r="A6" s="283" t="s">
        <v>23</v>
      </c>
      <c r="B6" s="284" t="s">
        <v>23</v>
      </c>
      <c r="C6" s="284" t="s">
        <v>24</v>
      </c>
      <c r="D6" s="284"/>
      <c r="E6" s="286"/>
      <c r="F6" s="286"/>
      <c r="G6" s="286"/>
      <c r="H6" s="286"/>
    </row>
    <row r="7" spans="1:8">
      <c r="A7" s="283" t="s">
        <v>25</v>
      </c>
      <c r="B7" s="284" t="s">
        <v>25</v>
      </c>
      <c r="C7" s="284" t="s">
        <v>19</v>
      </c>
      <c r="D7" s="284" t="s">
        <v>26</v>
      </c>
      <c r="E7" s="286"/>
      <c r="F7" s="286"/>
      <c r="G7" s="286"/>
      <c r="H7" s="286"/>
    </row>
    <row r="8" spans="1:8">
      <c r="A8" s="283" t="s">
        <v>27</v>
      </c>
      <c r="B8" s="284" t="s">
        <v>27</v>
      </c>
      <c r="C8" s="284" t="s">
        <v>24</v>
      </c>
      <c r="D8" s="284"/>
      <c r="E8" s="286"/>
      <c r="F8" s="286"/>
      <c r="G8" s="286"/>
      <c r="H8" s="286"/>
    </row>
    <row r="9" spans="1:8">
      <c r="A9" s="283" t="s">
        <v>28</v>
      </c>
      <c r="B9" s="284" t="s">
        <v>28</v>
      </c>
      <c r="C9" s="284" t="s">
        <v>19</v>
      </c>
      <c r="D9" s="284" t="s">
        <v>29</v>
      </c>
      <c r="E9" s="286"/>
      <c r="F9" s="286"/>
      <c r="G9" s="286"/>
      <c r="H9" s="286"/>
    </row>
    <row r="10" spans="1:8">
      <c r="A10" s="283" t="s">
        <v>30</v>
      </c>
      <c r="B10" s="284" t="s">
        <v>30</v>
      </c>
      <c r="C10" s="284" t="s">
        <v>19</v>
      </c>
      <c r="D10" s="284" t="s">
        <v>31</v>
      </c>
      <c r="E10" s="286"/>
      <c r="F10" s="286"/>
      <c r="G10" s="286"/>
      <c r="H10" s="286"/>
    </row>
    <row r="11" spans="1:8">
      <c r="A11" s="283" t="s">
        <v>32</v>
      </c>
      <c r="B11" s="284" t="s">
        <v>32</v>
      </c>
      <c r="C11" s="284" t="s">
        <v>19</v>
      </c>
      <c r="D11" s="284" t="s">
        <v>33</v>
      </c>
      <c r="E11" s="286"/>
      <c r="F11" s="286"/>
      <c r="G11" s="286"/>
      <c r="H11" s="286"/>
    </row>
    <row r="12" spans="1:8">
      <c r="A12" s="283" t="s">
        <v>34</v>
      </c>
      <c r="B12" s="284" t="s">
        <v>34</v>
      </c>
      <c r="C12" s="284" t="s">
        <v>24</v>
      </c>
      <c r="D12" s="284"/>
      <c r="E12" s="286"/>
      <c r="F12" s="286"/>
      <c r="G12" s="286"/>
      <c r="H12" s="286"/>
    </row>
    <row r="13" spans="1:8">
      <c r="A13" s="283" t="s">
        <v>35</v>
      </c>
      <c r="B13" s="284" t="s">
        <v>35</v>
      </c>
      <c r="C13" s="284" t="s">
        <v>19</v>
      </c>
      <c r="D13" s="284" t="s">
        <v>36</v>
      </c>
      <c r="E13" s="286"/>
      <c r="F13" s="286"/>
      <c r="G13" s="286"/>
      <c r="H13" s="286"/>
    </row>
    <row r="14" spans="1:8">
      <c r="A14" s="283" t="s">
        <v>37</v>
      </c>
      <c r="B14" s="284" t="s">
        <v>38</v>
      </c>
      <c r="C14" s="284" t="s">
        <v>19</v>
      </c>
      <c r="D14" s="284" t="s">
        <v>39</v>
      </c>
      <c r="E14" s="286"/>
      <c r="F14" s="286"/>
      <c r="G14" s="286"/>
      <c r="H14" s="286"/>
    </row>
    <row r="15" spans="1:8">
      <c r="A15" s="283" t="s">
        <v>40</v>
      </c>
      <c r="B15" s="284" t="s">
        <v>40</v>
      </c>
      <c r="C15" s="284" t="s">
        <v>19</v>
      </c>
      <c r="D15" s="284" t="s">
        <v>41</v>
      </c>
      <c r="E15" s="286"/>
      <c r="F15" s="286"/>
      <c r="G15" s="286"/>
      <c r="H15" s="286"/>
    </row>
    <row r="16" spans="1:8">
      <c r="A16" s="283" t="s">
        <v>42</v>
      </c>
      <c r="B16" s="284" t="s">
        <v>42</v>
      </c>
      <c r="C16" s="284" t="s">
        <v>19</v>
      </c>
      <c r="D16" s="284"/>
      <c r="E16" s="286"/>
      <c r="F16" s="286"/>
      <c r="G16" s="286"/>
      <c r="H16" s="286"/>
    </row>
    <row r="17" spans="1:8">
      <c r="A17" s="283" t="s">
        <v>43</v>
      </c>
      <c r="B17" s="284" t="s">
        <v>43</v>
      </c>
      <c r="C17" s="284" t="s">
        <v>44</v>
      </c>
      <c r="D17" s="284" t="s">
        <v>45</v>
      </c>
      <c r="E17" s="286"/>
      <c r="F17" s="286"/>
      <c r="G17" s="286"/>
      <c r="H17" s="286"/>
    </row>
    <row r="18" spans="1:8">
      <c r="A18" s="283" t="s">
        <v>46</v>
      </c>
      <c r="B18" s="284" t="s">
        <v>46</v>
      </c>
      <c r="C18" s="284" t="s">
        <v>44</v>
      </c>
      <c r="D18" s="284" t="s">
        <v>47</v>
      </c>
      <c r="E18" s="286"/>
      <c r="F18" s="286"/>
      <c r="G18" s="286"/>
      <c r="H18" s="286"/>
    </row>
    <row r="19" spans="1:8">
      <c r="A19" s="283" t="s">
        <v>48</v>
      </c>
      <c r="B19" s="284" t="s">
        <v>49</v>
      </c>
      <c r="C19" s="284" t="s">
        <v>49</v>
      </c>
      <c r="D19" s="284"/>
      <c r="E19" s="286"/>
      <c r="F19" s="286"/>
      <c r="G19" s="286"/>
      <c r="H19" s="286"/>
    </row>
    <row r="20" spans="1:8">
      <c r="A20" s="283" t="s">
        <v>50</v>
      </c>
      <c r="B20" s="284" t="s">
        <v>50</v>
      </c>
      <c r="C20" s="284" t="s">
        <v>44</v>
      </c>
      <c r="D20" s="284" t="s">
        <v>47</v>
      </c>
      <c r="E20" s="286"/>
      <c r="F20" s="286"/>
      <c r="G20" s="286"/>
      <c r="H20" s="286"/>
    </row>
    <row r="21" spans="1:8">
      <c r="A21" s="283" t="s">
        <v>51</v>
      </c>
      <c r="B21" s="284" t="s">
        <v>51</v>
      </c>
      <c r="C21" s="284" t="s">
        <v>44</v>
      </c>
      <c r="D21" s="284" t="s">
        <v>47</v>
      </c>
      <c r="E21" s="286"/>
      <c r="F21" s="286"/>
      <c r="G21" s="286"/>
      <c r="H21" s="286"/>
    </row>
    <row r="22" spans="1:8">
      <c r="A22" s="285" t="s">
        <v>24</v>
      </c>
      <c r="B22" s="284" t="s">
        <v>24</v>
      </c>
      <c r="C22" s="284" t="s">
        <v>19</v>
      </c>
      <c r="D22" s="284" t="s">
        <v>52</v>
      </c>
      <c r="E22" s="286"/>
      <c r="F22" s="286"/>
      <c r="G22" s="286"/>
      <c r="H22" s="286"/>
    </row>
    <row r="23" spans="1:8">
      <c r="A23" s="283" t="s">
        <v>53</v>
      </c>
      <c r="B23" s="284" t="s">
        <v>53</v>
      </c>
      <c r="C23" s="284" t="s">
        <v>19</v>
      </c>
      <c r="D23" s="284" t="s">
        <v>54</v>
      </c>
      <c r="E23" s="286"/>
      <c r="F23" s="286"/>
      <c r="G23" s="286"/>
      <c r="H23" s="286"/>
    </row>
    <row r="24" spans="1:8">
      <c r="A24" s="283" t="s">
        <v>55</v>
      </c>
      <c r="B24" s="284" t="s">
        <v>56</v>
      </c>
      <c r="C24" s="284" t="s">
        <v>19</v>
      </c>
      <c r="D24" s="284" t="s">
        <v>57</v>
      </c>
      <c r="E24" s="286"/>
      <c r="F24" s="286"/>
      <c r="G24" s="286"/>
      <c r="H24" s="286"/>
    </row>
    <row r="25" spans="1:8">
      <c r="A25" s="285" t="s">
        <v>58</v>
      </c>
      <c r="B25" s="284" t="s">
        <v>58</v>
      </c>
      <c r="C25" s="284" t="s">
        <v>44</v>
      </c>
      <c r="D25" s="284" t="s">
        <v>45</v>
      </c>
      <c r="E25" s="286"/>
      <c r="F25" s="286"/>
      <c r="G25" s="286"/>
      <c r="H25" s="286"/>
    </row>
    <row r="26" spans="1:8">
      <c r="A26" s="285" t="s">
        <v>59</v>
      </c>
      <c r="B26" s="284" t="s">
        <v>59</v>
      </c>
      <c r="C26" s="284" t="s">
        <v>44</v>
      </c>
      <c r="D26" s="284" t="s">
        <v>45</v>
      </c>
      <c r="E26" s="286"/>
      <c r="F26" s="286"/>
      <c r="G26" s="286"/>
      <c r="H26" s="286"/>
    </row>
    <row r="27" spans="1:8">
      <c r="A27" s="285" t="s">
        <v>60</v>
      </c>
      <c r="B27" s="284" t="s">
        <v>60</v>
      </c>
      <c r="C27" s="284" t="s">
        <v>44</v>
      </c>
      <c r="D27" s="284" t="s">
        <v>45</v>
      </c>
      <c r="E27" s="286"/>
      <c r="F27" s="286"/>
      <c r="G27" s="286"/>
      <c r="H27" s="286"/>
    </row>
    <row r="28" spans="1:8">
      <c r="A28" s="285" t="s">
        <v>61</v>
      </c>
      <c r="B28" s="284" t="s">
        <v>61</v>
      </c>
      <c r="C28" s="284" t="s">
        <v>44</v>
      </c>
      <c r="D28" s="284" t="s">
        <v>62</v>
      </c>
      <c r="E28" s="286"/>
      <c r="F28" s="286"/>
      <c r="G28" s="286"/>
      <c r="H28" s="286"/>
    </row>
    <row r="29" spans="1:8">
      <c r="A29" s="285" t="s">
        <v>63</v>
      </c>
      <c r="B29" s="284" t="s">
        <v>63</v>
      </c>
      <c r="C29" s="284" t="s">
        <v>44</v>
      </c>
      <c r="D29" s="284" t="s">
        <v>47</v>
      </c>
      <c r="E29" s="286"/>
      <c r="F29" s="286"/>
      <c r="G29" s="286"/>
      <c r="H29" s="286"/>
    </row>
    <row r="30" spans="1:8">
      <c r="A30" s="285" t="s">
        <v>64</v>
      </c>
      <c r="B30" s="284" t="s">
        <v>64</v>
      </c>
      <c r="C30" s="284" t="s">
        <v>44</v>
      </c>
      <c r="D30" s="284" t="s">
        <v>47</v>
      </c>
      <c r="E30" s="286"/>
      <c r="F30" s="286"/>
      <c r="G30" s="286"/>
      <c r="H30" s="286"/>
    </row>
    <row r="31" spans="1:8">
      <c r="A31" s="285" t="s">
        <v>65</v>
      </c>
      <c r="B31" s="284" t="s">
        <v>65</v>
      </c>
      <c r="C31" s="284" t="s">
        <v>44</v>
      </c>
      <c r="D31" s="284" t="s">
        <v>45</v>
      </c>
      <c r="E31" s="286"/>
      <c r="F31" s="286"/>
      <c r="G31" s="286"/>
      <c r="H31" s="286"/>
    </row>
    <row r="32" spans="1:8">
      <c r="A32" s="285" t="s">
        <v>66</v>
      </c>
      <c r="B32" s="284" t="s">
        <v>66</v>
      </c>
      <c r="C32" s="284" t="s">
        <v>44</v>
      </c>
      <c r="D32" s="284" t="s">
        <v>45</v>
      </c>
      <c r="E32" s="286"/>
      <c r="F32" s="286"/>
      <c r="G32" s="286"/>
      <c r="H32" s="286"/>
    </row>
    <row r="33" spans="1:8">
      <c r="A33" s="285" t="s">
        <v>67</v>
      </c>
      <c r="B33" s="284" t="s">
        <v>67</v>
      </c>
      <c r="C33" s="284" t="s">
        <v>44</v>
      </c>
      <c r="D33" s="284" t="s">
        <v>68</v>
      </c>
      <c r="E33" s="286"/>
      <c r="F33" s="286"/>
      <c r="G33" s="286"/>
      <c r="H33" s="286"/>
    </row>
    <row r="34" spans="1:8">
      <c r="A34" s="285" t="s">
        <v>69</v>
      </c>
      <c r="B34" s="284" t="s">
        <v>69</v>
      </c>
      <c r="C34" s="284" t="s">
        <v>44</v>
      </c>
      <c r="D34" s="284" t="s">
        <v>45</v>
      </c>
      <c r="E34" s="286"/>
      <c r="F34" s="286"/>
      <c r="G34" s="286"/>
      <c r="H34" s="286"/>
    </row>
    <row r="35" spans="1:8">
      <c r="A35" s="285" t="s">
        <v>70</v>
      </c>
      <c r="B35" s="284" t="s">
        <v>70</v>
      </c>
      <c r="C35" s="284" t="s">
        <v>44</v>
      </c>
      <c r="D35" s="284" t="s">
        <v>62</v>
      </c>
      <c r="E35" s="286"/>
      <c r="F35" s="286"/>
      <c r="G35" s="286"/>
      <c r="H35" s="286"/>
    </row>
    <row r="36" spans="1:8">
      <c r="A36" s="285" t="s">
        <v>71</v>
      </c>
      <c r="B36" s="284" t="s">
        <v>71</v>
      </c>
      <c r="C36" s="284" t="s">
        <v>44</v>
      </c>
      <c r="D36" s="284" t="s">
        <v>62</v>
      </c>
      <c r="E36" s="286"/>
      <c r="F36" s="286"/>
      <c r="G36" s="286"/>
      <c r="H36" s="286"/>
    </row>
    <row r="37" spans="1:8">
      <c r="A37" s="285" t="s">
        <v>72</v>
      </c>
      <c r="B37" s="284" t="s">
        <v>72</v>
      </c>
      <c r="C37" s="284" t="s">
        <v>44</v>
      </c>
      <c r="D37" s="284" t="s">
        <v>73</v>
      </c>
      <c r="E37" s="286"/>
      <c r="F37" s="286"/>
      <c r="G37" s="286"/>
      <c r="H37" s="286"/>
    </row>
    <row r="38" spans="1:8">
      <c r="A38" s="285" t="s">
        <v>74</v>
      </c>
      <c r="B38" s="284" t="s">
        <v>74</v>
      </c>
      <c r="C38" s="284" t="s">
        <v>44</v>
      </c>
      <c r="D38" s="284" t="s">
        <v>75</v>
      </c>
      <c r="E38" s="286"/>
      <c r="F38" s="286"/>
      <c r="G38" s="286"/>
      <c r="H38" s="286"/>
    </row>
    <row r="39" spans="1:8">
      <c r="A39" s="285" t="s">
        <v>76</v>
      </c>
      <c r="B39" s="284" t="s">
        <v>76</v>
      </c>
      <c r="C39" s="284" t="s">
        <v>44</v>
      </c>
      <c r="D39" s="284" t="s">
        <v>77</v>
      </c>
      <c r="E39" s="286"/>
      <c r="F39" s="286"/>
      <c r="G39" s="286"/>
      <c r="H39" s="286"/>
    </row>
    <row r="40" spans="1:8">
      <c r="A40" s="285" t="s">
        <v>78</v>
      </c>
      <c r="B40" s="284" t="s">
        <v>78</v>
      </c>
      <c r="C40" s="284" t="s">
        <v>44</v>
      </c>
      <c r="D40" s="284" t="s">
        <v>77</v>
      </c>
      <c r="E40" s="286"/>
      <c r="F40" s="286"/>
      <c r="G40" s="286"/>
      <c r="H40" s="286"/>
    </row>
    <row r="41" spans="1:8">
      <c r="A41" s="285" t="s">
        <v>79</v>
      </c>
      <c r="B41" s="284" t="s">
        <v>79</v>
      </c>
      <c r="C41" s="284" t="s">
        <v>44</v>
      </c>
      <c r="D41" s="284" t="s">
        <v>77</v>
      </c>
      <c r="E41" s="286"/>
      <c r="F41" s="286"/>
      <c r="G41" s="286"/>
      <c r="H41" s="286"/>
    </row>
    <row r="42" spans="1:8">
      <c r="A42" s="285" t="s">
        <v>80</v>
      </c>
      <c r="B42" s="284" t="s">
        <v>80</v>
      </c>
      <c r="C42" s="284" t="s">
        <v>44</v>
      </c>
      <c r="D42" s="284" t="s">
        <v>77</v>
      </c>
      <c r="E42" s="286"/>
      <c r="F42" s="286"/>
      <c r="G42" s="286"/>
      <c r="H42" s="286"/>
    </row>
    <row r="43" spans="1:8">
      <c r="A43" s="285" t="s">
        <v>81</v>
      </c>
      <c r="B43" s="284" t="s">
        <v>81</v>
      </c>
      <c r="C43" s="284" t="s">
        <v>44</v>
      </c>
      <c r="D43" s="284" t="s">
        <v>77</v>
      </c>
      <c r="E43" s="286"/>
      <c r="F43" s="286"/>
      <c r="G43" s="286"/>
      <c r="H43" s="286"/>
    </row>
    <row r="44" spans="1:8">
      <c r="A44" s="285" t="s">
        <v>82</v>
      </c>
      <c r="B44" s="284" t="s">
        <v>82</v>
      </c>
      <c r="C44" s="284" t="s">
        <v>44</v>
      </c>
      <c r="D44" s="284" t="s">
        <v>77</v>
      </c>
      <c r="E44" s="286"/>
      <c r="F44" s="286"/>
      <c r="G44" s="286"/>
      <c r="H44" s="286"/>
    </row>
    <row r="45" spans="1:8">
      <c r="A45" s="285" t="s">
        <v>83</v>
      </c>
      <c r="B45" s="284" t="s">
        <v>83</v>
      </c>
      <c r="C45" s="284" t="s">
        <v>44</v>
      </c>
      <c r="D45" s="284" t="s">
        <v>77</v>
      </c>
      <c r="E45" s="286"/>
      <c r="F45" s="286"/>
      <c r="G45" s="286"/>
      <c r="H45" s="286"/>
    </row>
    <row r="46" spans="1:8">
      <c r="A46" s="285" t="s">
        <v>84</v>
      </c>
      <c r="B46" s="284" t="s">
        <v>84</v>
      </c>
      <c r="C46" s="284" t="s">
        <v>44</v>
      </c>
      <c r="D46" s="284" t="s">
        <v>77</v>
      </c>
      <c r="E46" s="286"/>
      <c r="F46" s="286"/>
      <c r="G46" s="286"/>
      <c r="H46" s="286"/>
    </row>
    <row r="47" spans="1:8">
      <c r="A47" s="285" t="s">
        <v>85</v>
      </c>
      <c r="B47" s="284" t="s">
        <v>85</v>
      </c>
      <c r="C47" s="284" t="s">
        <v>44</v>
      </c>
      <c r="D47" s="284" t="s">
        <v>77</v>
      </c>
      <c r="E47" s="286"/>
      <c r="F47" s="286"/>
      <c r="G47" s="286"/>
      <c r="H47" s="286"/>
    </row>
    <row r="48" spans="1:8">
      <c r="A48" s="285" t="s">
        <v>86</v>
      </c>
      <c r="B48" s="284" t="s">
        <v>86</v>
      </c>
      <c r="C48" s="284" t="s">
        <v>44</v>
      </c>
      <c r="D48" s="284" t="s">
        <v>87</v>
      </c>
      <c r="E48" s="286"/>
      <c r="F48" s="286"/>
      <c r="G48" s="286"/>
      <c r="H48" s="286"/>
    </row>
    <row r="49" spans="1:8">
      <c r="A49" s="285" t="s">
        <v>88</v>
      </c>
      <c r="B49" s="284" t="s">
        <v>88</v>
      </c>
      <c r="C49" s="284" t="s">
        <v>44</v>
      </c>
      <c r="D49" s="284" t="s">
        <v>87</v>
      </c>
      <c r="E49" s="286"/>
      <c r="F49" s="286"/>
      <c r="G49" s="286"/>
      <c r="H49" s="286"/>
    </row>
    <row r="50" spans="1:8">
      <c r="A50" s="285" t="s">
        <v>89</v>
      </c>
      <c r="B50" s="284" t="s">
        <v>89</v>
      </c>
      <c r="C50" s="284" t="s">
        <v>44</v>
      </c>
      <c r="D50" s="284" t="s">
        <v>87</v>
      </c>
      <c r="E50" s="286"/>
      <c r="F50" s="286"/>
      <c r="G50" s="286"/>
      <c r="H50" s="286"/>
    </row>
    <row r="51" spans="1:8">
      <c r="A51" s="285" t="s">
        <v>90</v>
      </c>
      <c r="B51" s="284" t="s">
        <v>90</v>
      </c>
      <c r="C51" s="284" t="s">
        <v>44</v>
      </c>
      <c r="D51" s="284" t="s">
        <v>87</v>
      </c>
      <c r="E51" s="286"/>
      <c r="F51" s="286"/>
      <c r="G51" s="286"/>
      <c r="H51" s="286"/>
    </row>
    <row r="52" spans="1:8">
      <c r="A52" s="285" t="s">
        <v>91</v>
      </c>
      <c r="B52" s="284" t="s">
        <v>91</v>
      </c>
      <c r="C52" s="284" t="s">
        <v>44</v>
      </c>
      <c r="D52" s="284" t="s">
        <v>87</v>
      </c>
      <c r="E52" s="286"/>
      <c r="F52" s="286"/>
      <c r="G52" s="286"/>
      <c r="H52" s="286"/>
    </row>
    <row r="53" spans="1:8">
      <c r="A53" s="285" t="s">
        <v>92</v>
      </c>
      <c r="B53" s="284" t="s">
        <v>92</v>
      </c>
      <c r="C53" s="284" t="s">
        <v>44</v>
      </c>
      <c r="D53" s="284" t="s">
        <v>87</v>
      </c>
      <c r="E53" s="286"/>
      <c r="F53" s="286"/>
      <c r="G53" s="286"/>
      <c r="H53" s="286"/>
    </row>
    <row r="54" spans="1:8">
      <c r="A54" s="285" t="s">
        <v>93</v>
      </c>
      <c r="B54" s="284" t="s">
        <v>93</v>
      </c>
      <c r="C54" s="284" t="s">
        <v>44</v>
      </c>
      <c r="D54" s="284" t="s">
        <v>87</v>
      </c>
      <c r="E54" s="286"/>
      <c r="F54" s="286"/>
      <c r="G54" s="286"/>
      <c r="H54" s="286"/>
    </row>
    <row r="55" spans="1:8">
      <c r="A55" s="285" t="s">
        <v>94</v>
      </c>
      <c r="B55" s="284" t="s">
        <v>94</v>
      </c>
      <c r="C55" s="284" t="s">
        <v>44</v>
      </c>
      <c r="D55" s="284" t="s">
        <v>87</v>
      </c>
      <c r="E55" s="286"/>
      <c r="F55" s="286"/>
      <c r="G55" s="286"/>
      <c r="H55" s="286"/>
    </row>
    <row r="56" spans="1:8">
      <c r="A56" s="285" t="s">
        <v>95</v>
      </c>
      <c r="B56" s="284" t="s">
        <v>95</v>
      </c>
      <c r="C56" s="284" t="s">
        <v>44</v>
      </c>
      <c r="D56" s="284" t="s">
        <v>96</v>
      </c>
      <c r="E56" s="286"/>
      <c r="F56" s="286"/>
      <c r="G56" s="286"/>
      <c r="H56" s="286"/>
    </row>
    <row r="57" spans="1:8">
      <c r="A57" s="285" t="s">
        <v>97</v>
      </c>
      <c r="B57" s="284" t="s">
        <v>97</v>
      </c>
      <c r="C57" s="284" t="s">
        <v>44</v>
      </c>
      <c r="D57" s="284" t="s">
        <v>98</v>
      </c>
      <c r="E57" s="286"/>
      <c r="F57" s="286"/>
      <c r="G57" s="286"/>
      <c r="H57" s="286"/>
    </row>
    <row r="58" spans="1:8">
      <c r="A58" s="285" t="s">
        <v>99</v>
      </c>
      <c r="B58" s="284" t="s">
        <v>99</v>
      </c>
      <c r="C58" s="284" t="s">
        <v>44</v>
      </c>
      <c r="D58" s="284" t="s">
        <v>45</v>
      </c>
      <c r="E58" s="286"/>
      <c r="F58" s="286"/>
      <c r="G58" s="286"/>
      <c r="H58" s="286"/>
    </row>
    <row r="59" spans="1:8">
      <c r="A59" s="285" t="s">
        <v>100</v>
      </c>
      <c r="B59" s="284" t="s">
        <v>100</v>
      </c>
      <c r="C59" s="284" t="s">
        <v>44</v>
      </c>
      <c r="D59" s="284" t="s">
        <v>68</v>
      </c>
      <c r="E59" s="286"/>
      <c r="F59" s="286"/>
      <c r="G59" s="286"/>
      <c r="H59" s="286"/>
    </row>
    <row r="60" spans="1:8">
      <c r="A60" s="285" t="s">
        <v>101</v>
      </c>
      <c r="B60" s="284" t="s">
        <v>101</v>
      </c>
      <c r="C60" s="284" t="s">
        <v>44</v>
      </c>
      <c r="D60" s="284" t="s">
        <v>45</v>
      </c>
      <c r="E60" s="286"/>
      <c r="F60" s="286"/>
      <c r="G60" s="286"/>
      <c r="H60" s="286"/>
    </row>
    <row r="61" spans="1:8">
      <c r="A61" s="285" t="s">
        <v>102</v>
      </c>
      <c r="B61" s="284" t="s">
        <v>102</v>
      </c>
      <c r="C61" s="284" t="s">
        <v>44</v>
      </c>
      <c r="D61" s="284" t="s">
        <v>45</v>
      </c>
      <c r="E61" s="286"/>
      <c r="F61" s="286"/>
      <c r="G61" s="286"/>
      <c r="H61" s="286"/>
    </row>
    <row r="62" spans="1:8">
      <c r="A62" s="285" t="s">
        <v>103</v>
      </c>
      <c r="B62" s="284" t="s">
        <v>103</v>
      </c>
      <c r="C62" s="284" t="s">
        <v>44</v>
      </c>
      <c r="D62" s="284" t="s">
        <v>104</v>
      </c>
      <c r="E62" s="286"/>
      <c r="F62" s="286"/>
      <c r="G62" s="286"/>
      <c r="H62" s="286"/>
    </row>
    <row r="63" spans="1:8">
      <c r="A63" s="285" t="s">
        <v>105</v>
      </c>
      <c r="B63" s="284" t="s">
        <v>105</v>
      </c>
      <c r="C63" s="284" t="s">
        <v>44</v>
      </c>
      <c r="D63" s="284" t="s">
        <v>104</v>
      </c>
      <c r="E63" s="286"/>
      <c r="F63" s="286"/>
      <c r="G63" s="286"/>
      <c r="H63" s="286"/>
    </row>
    <row r="64" spans="1:8">
      <c r="A64" s="285" t="s">
        <v>106</v>
      </c>
      <c r="B64" s="284" t="s">
        <v>106</v>
      </c>
      <c r="C64" s="284" t="s">
        <v>44</v>
      </c>
      <c r="D64" s="284" t="s">
        <v>104</v>
      </c>
      <c r="E64" s="286"/>
      <c r="F64" s="286"/>
      <c r="G64" s="286"/>
      <c r="H64" s="286"/>
    </row>
    <row r="65" spans="1:8">
      <c r="A65" s="285" t="s">
        <v>107</v>
      </c>
      <c r="B65" s="284" t="s">
        <v>107</v>
      </c>
      <c r="C65" s="284" t="s">
        <v>44</v>
      </c>
      <c r="D65" s="284" t="s">
        <v>104</v>
      </c>
      <c r="E65" s="286"/>
      <c r="F65" s="286"/>
      <c r="G65" s="286"/>
      <c r="H65" s="286"/>
    </row>
    <row r="66" spans="1:8">
      <c r="A66" s="285" t="s">
        <v>108</v>
      </c>
      <c r="B66" s="284" t="s">
        <v>108</v>
      </c>
      <c r="C66" s="284" t="s">
        <v>44</v>
      </c>
      <c r="D66" s="284" t="s">
        <v>104</v>
      </c>
      <c r="E66" s="286"/>
      <c r="F66" s="286"/>
      <c r="G66" s="286"/>
      <c r="H66" s="286"/>
    </row>
    <row r="67" spans="1:8">
      <c r="A67" s="285" t="s">
        <v>109</v>
      </c>
      <c r="B67" s="284" t="s">
        <v>109</v>
      </c>
      <c r="C67" s="284" t="s">
        <v>44</v>
      </c>
      <c r="D67" s="284" t="s">
        <v>104</v>
      </c>
      <c r="E67" s="286"/>
      <c r="F67" s="286"/>
      <c r="G67" s="286"/>
      <c r="H67" s="286"/>
    </row>
    <row r="68" spans="1:8">
      <c r="A68" s="285" t="s">
        <v>110</v>
      </c>
      <c r="B68" s="284" t="s">
        <v>110</v>
      </c>
      <c r="C68" s="284" t="s">
        <v>44</v>
      </c>
      <c r="D68" s="284" t="s">
        <v>104</v>
      </c>
      <c r="E68" s="286"/>
      <c r="F68" s="286"/>
      <c r="G68" s="286"/>
      <c r="H68" s="286"/>
    </row>
    <row r="69" spans="1:8">
      <c r="A69" s="285" t="s">
        <v>111</v>
      </c>
      <c r="B69" s="284" t="s">
        <v>111</v>
      </c>
      <c r="C69" s="284" t="s">
        <v>44</v>
      </c>
      <c r="D69" s="284" t="s">
        <v>104</v>
      </c>
      <c r="E69" s="286"/>
      <c r="F69" s="286"/>
      <c r="G69" s="286"/>
      <c r="H69" s="286"/>
    </row>
    <row r="70" spans="1:8">
      <c r="A70" s="285" t="s">
        <v>112</v>
      </c>
      <c r="B70" s="284" t="s">
        <v>112</v>
      </c>
      <c r="C70" s="284" t="s">
        <v>44</v>
      </c>
      <c r="D70" s="284" t="s">
        <v>87</v>
      </c>
      <c r="E70" s="286"/>
      <c r="F70" s="286"/>
      <c r="G70" s="286"/>
      <c r="H70" s="286"/>
    </row>
    <row r="71" spans="1:8">
      <c r="A71" s="285" t="s">
        <v>113</v>
      </c>
      <c r="B71" s="284" t="s">
        <v>113</v>
      </c>
      <c r="C71" s="284" t="s">
        <v>44</v>
      </c>
      <c r="D71" s="284" t="s">
        <v>68</v>
      </c>
      <c r="E71" s="286"/>
      <c r="F71" s="286"/>
      <c r="G71" s="286"/>
      <c r="H71" s="286"/>
    </row>
    <row r="72" spans="1:8">
      <c r="A72" s="285" t="s">
        <v>114</v>
      </c>
      <c r="B72" s="284" t="s">
        <v>114</v>
      </c>
      <c r="C72" s="284" t="s">
        <v>19</v>
      </c>
      <c r="D72" s="284" t="s">
        <v>115</v>
      </c>
      <c r="E72" s="288"/>
      <c r="F72" s="288"/>
      <c r="G72" s="288"/>
      <c r="H72" s="288"/>
    </row>
    <row r="73" spans="1:8">
      <c r="A73" s="285" t="s">
        <v>116</v>
      </c>
      <c r="B73" s="284" t="s">
        <v>116</v>
      </c>
      <c r="C73" s="284" t="s">
        <v>19</v>
      </c>
      <c r="D73" s="284" t="s">
        <v>117</v>
      </c>
      <c r="E73" s="288"/>
      <c r="F73" s="288"/>
      <c r="G73" s="288"/>
      <c r="H73" s="288"/>
    </row>
    <row r="74" spans="1:8">
      <c r="A74" s="285" t="s">
        <v>118</v>
      </c>
      <c r="B74" s="284" t="s">
        <v>118</v>
      </c>
      <c r="C74" s="284" t="s">
        <v>44</v>
      </c>
      <c r="D74" s="284" t="s">
        <v>119</v>
      </c>
      <c r="E74" s="288"/>
      <c r="F74" s="288"/>
      <c r="G74" s="288"/>
      <c r="H74" s="288"/>
    </row>
    <row r="75" spans="1:8">
      <c r="A75" s="287" t="s">
        <v>120</v>
      </c>
      <c r="B75" s="284" t="s">
        <v>121</v>
      </c>
      <c r="C75" s="284" t="s">
        <v>44</v>
      </c>
      <c r="D75" s="284" t="s">
        <v>122</v>
      </c>
      <c r="E75" s="288"/>
      <c r="F75" s="288"/>
      <c r="G75" s="288"/>
      <c r="H75" s="288"/>
    </row>
    <row r="76" spans="1:8">
      <c r="A76" s="287" t="s">
        <v>123</v>
      </c>
      <c r="B76" s="284" t="s">
        <v>124</v>
      </c>
      <c r="C76" s="284" t="s">
        <v>44</v>
      </c>
      <c r="D76" s="284" t="s">
        <v>122</v>
      </c>
      <c r="E76" s="288"/>
      <c r="F76" s="288"/>
      <c r="G76" s="288"/>
      <c r="H76" s="288"/>
    </row>
    <row r="77" spans="1:8">
      <c r="A77" s="287" t="s">
        <v>125</v>
      </c>
      <c r="B77" s="284" t="s">
        <v>126</v>
      </c>
      <c r="C77" s="284" t="s">
        <v>44</v>
      </c>
      <c r="D77" s="284" t="s">
        <v>122</v>
      </c>
      <c r="E77" s="288"/>
      <c r="F77" s="288"/>
      <c r="G77" s="288"/>
      <c r="H77" s="288"/>
    </row>
    <row r="78" spans="1:8">
      <c r="A78" s="285" t="s">
        <v>127</v>
      </c>
      <c r="B78" s="284" t="s">
        <v>127</v>
      </c>
      <c r="C78" s="284" t="s">
        <v>24</v>
      </c>
      <c r="D78" s="284"/>
      <c r="E78" s="288"/>
      <c r="F78" s="288"/>
      <c r="G78" s="288"/>
      <c r="H78" s="288"/>
    </row>
    <row r="79" spans="1:8">
      <c r="A79" s="285" t="s">
        <v>128</v>
      </c>
      <c r="B79" s="284" t="s">
        <v>128</v>
      </c>
      <c r="C79" s="284" t="s">
        <v>24</v>
      </c>
      <c r="D79" s="284"/>
      <c r="E79" s="288"/>
      <c r="F79" s="288"/>
      <c r="G79" s="288"/>
      <c r="H79" s="288"/>
    </row>
    <row r="80" spans="1:8">
      <c r="A80" s="285" t="s">
        <v>129</v>
      </c>
      <c r="B80" s="284" t="s">
        <v>129</v>
      </c>
      <c r="C80" s="284" t="s">
        <v>24</v>
      </c>
      <c r="D80" s="284"/>
      <c r="E80" s="288"/>
      <c r="F80" s="288"/>
      <c r="G80" s="288"/>
      <c r="H80" s="288"/>
    </row>
    <row r="81" spans="1:4">
      <c r="A81" s="285" t="s">
        <v>130</v>
      </c>
      <c r="B81" s="284" t="s">
        <v>130</v>
      </c>
      <c r="C81" s="284" t="s">
        <v>44</v>
      </c>
      <c r="D81" s="284" t="s">
        <v>131</v>
      </c>
    </row>
    <row r="82" spans="1:4">
      <c r="A82" s="285" t="s">
        <v>132</v>
      </c>
      <c r="B82" s="284" t="s">
        <v>132</v>
      </c>
      <c r="C82" s="284" t="s">
        <v>44</v>
      </c>
      <c r="D82" s="284" t="s">
        <v>131</v>
      </c>
    </row>
    <row r="83" spans="1:4">
      <c r="A83" s="285" t="s">
        <v>133</v>
      </c>
      <c r="B83" s="284" t="s">
        <v>133</v>
      </c>
      <c r="C83" s="284" t="s">
        <v>44</v>
      </c>
      <c r="D83" s="284" t="s">
        <v>131</v>
      </c>
    </row>
    <row r="84" spans="1:4">
      <c r="A84" s="285" t="s">
        <v>134</v>
      </c>
      <c r="B84" s="284" t="s">
        <v>134</v>
      </c>
      <c r="C84" s="284" t="s">
        <v>44</v>
      </c>
      <c r="D84" s="284" t="s">
        <v>119</v>
      </c>
    </row>
    <row r="85" spans="1:4">
      <c r="A85" s="285" t="s">
        <v>135</v>
      </c>
      <c r="B85" s="284" t="s">
        <v>135</v>
      </c>
      <c r="C85" s="284" t="s">
        <v>44</v>
      </c>
      <c r="D85" s="284" t="s">
        <v>119</v>
      </c>
    </row>
    <row r="86" spans="1:4">
      <c r="A86" s="285" t="s">
        <v>136</v>
      </c>
      <c r="B86" s="284" t="s">
        <v>136</v>
      </c>
      <c r="C86" s="284" t="s">
        <v>44</v>
      </c>
      <c r="D86" s="284" t="s">
        <v>131</v>
      </c>
    </row>
    <row r="87" spans="1:4">
      <c r="A87" s="285" t="s">
        <v>137</v>
      </c>
      <c r="B87" s="284" t="s">
        <v>137</v>
      </c>
      <c r="C87" s="284" t="s">
        <v>44</v>
      </c>
      <c r="D87" s="284" t="s">
        <v>131</v>
      </c>
    </row>
    <row r="88" spans="1:4">
      <c r="A88" s="285" t="s">
        <v>138</v>
      </c>
      <c r="B88" s="284" t="s">
        <v>138</v>
      </c>
      <c r="C88" s="284" t="s">
        <v>44</v>
      </c>
      <c r="D88" s="284" t="s">
        <v>131</v>
      </c>
    </row>
    <row r="89" spans="1:4">
      <c r="A89" s="285" t="s">
        <v>139</v>
      </c>
      <c r="B89" s="284" t="s">
        <v>139</v>
      </c>
      <c r="C89" s="284" t="s">
        <v>44</v>
      </c>
      <c r="D89" s="284" t="s">
        <v>119</v>
      </c>
    </row>
    <row r="90" spans="1:4">
      <c r="A90" s="285" t="s">
        <v>140</v>
      </c>
      <c r="B90" s="284" t="s">
        <v>140</v>
      </c>
      <c r="C90" s="284" t="s">
        <v>44</v>
      </c>
      <c r="D90" s="284" t="s">
        <v>119</v>
      </c>
    </row>
    <row r="91" spans="1:4">
      <c r="A91" s="285" t="s">
        <v>141</v>
      </c>
      <c r="B91" s="284" t="s">
        <v>141</v>
      </c>
      <c r="C91" s="284" t="s">
        <v>44</v>
      </c>
      <c r="D91" s="284" t="s">
        <v>131</v>
      </c>
    </row>
    <row r="92" spans="1:4">
      <c r="A92" s="285" t="s">
        <v>142</v>
      </c>
      <c r="B92" s="284" t="s">
        <v>142</v>
      </c>
      <c r="C92" s="284" t="s">
        <v>44</v>
      </c>
      <c r="D92" s="284" t="s">
        <v>143</v>
      </c>
    </row>
    <row r="93" spans="1:4">
      <c r="A93" s="285" t="s">
        <v>144</v>
      </c>
      <c r="B93" s="284" t="s">
        <v>144</v>
      </c>
      <c r="C93" s="284" t="s">
        <v>44</v>
      </c>
      <c r="D93" s="284" t="s">
        <v>143</v>
      </c>
    </row>
    <row r="94" spans="1:4">
      <c r="A94" s="285" t="s">
        <v>145</v>
      </c>
      <c r="B94" s="284" t="s">
        <v>145</v>
      </c>
      <c r="C94" s="284" t="s">
        <v>44</v>
      </c>
      <c r="D94" s="284" t="s">
        <v>143</v>
      </c>
    </row>
    <row r="95" spans="1:4">
      <c r="A95" s="285" t="s">
        <v>146</v>
      </c>
      <c r="B95" s="284" t="s">
        <v>146</v>
      </c>
      <c r="C95" s="284" t="s">
        <v>44</v>
      </c>
      <c r="D95" s="284" t="s">
        <v>143</v>
      </c>
    </row>
    <row r="96" spans="1:4">
      <c r="A96" s="285" t="s">
        <v>147</v>
      </c>
      <c r="B96" s="284" t="s">
        <v>147</v>
      </c>
      <c r="C96" s="284" t="s">
        <v>44</v>
      </c>
      <c r="D96" s="284" t="s">
        <v>143</v>
      </c>
    </row>
    <row r="97" spans="1:4">
      <c r="A97" s="285" t="s">
        <v>148</v>
      </c>
      <c r="B97" s="284" t="s">
        <v>148</v>
      </c>
      <c r="C97" s="284" t="s">
        <v>44</v>
      </c>
      <c r="D97" s="284" t="s">
        <v>143</v>
      </c>
    </row>
    <row r="98" spans="1:4">
      <c r="A98" s="285" t="s">
        <v>149</v>
      </c>
      <c r="B98" s="284" t="s">
        <v>149</v>
      </c>
      <c r="C98" s="284" t="s">
        <v>44</v>
      </c>
      <c r="D98" s="284" t="s">
        <v>87</v>
      </c>
    </row>
    <row r="99" spans="1:4">
      <c r="A99" s="285" t="s">
        <v>150</v>
      </c>
      <c r="B99" s="284" t="s">
        <v>150</v>
      </c>
      <c r="C99" s="284" t="s">
        <v>44</v>
      </c>
      <c r="D99" s="284" t="s">
        <v>87</v>
      </c>
    </row>
    <row r="100" spans="1:4">
      <c r="A100" s="287" t="s">
        <v>151</v>
      </c>
      <c r="B100" s="284" t="s">
        <v>152</v>
      </c>
      <c r="C100" s="284" t="s">
        <v>19</v>
      </c>
      <c r="D100" s="284" t="s">
        <v>153</v>
      </c>
    </row>
    <row r="101" spans="1:4">
      <c r="A101" s="287" t="s">
        <v>154</v>
      </c>
      <c r="B101" s="284" t="s">
        <v>155</v>
      </c>
      <c r="C101" s="284" t="s">
        <v>44</v>
      </c>
      <c r="D101" s="284" t="s">
        <v>156</v>
      </c>
    </row>
    <row r="102" spans="1:4">
      <c r="A102" s="287" t="s">
        <v>157</v>
      </c>
      <c r="B102" s="284" t="s">
        <v>158</v>
      </c>
      <c r="C102" s="284" t="s">
        <v>44</v>
      </c>
      <c r="D102" s="284" t="s">
        <v>159</v>
      </c>
    </row>
    <row r="103" spans="1:4">
      <c r="A103" s="287" t="s">
        <v>160</v>
      </c>
      <c r="B103" s="284" t="s">
        <v>161</v>
      </c>
      <c r="C103" s="284" t="s">
        <v>44</v>
      </c>
      <c r="D103" s="284" t="s">
        <v>162</v>
      </c>
    </row>
    <row r="104" spans="1:4">
      <c r="A104" s="287" t="s">
        <v>163</v>
      </c>
      <c r="B104" s="284" t="s">
        <v>164</v>
      </c>
      <c r="C104" s="284" t="s">
        <v>44</v>
      </c>
      <c r="D104" s="284" t="s">
        <v>165</v>
      </c>
    </row>
    <row r="105" spans="1:4">
      <c r="A105" s="285" t="s">
        <v>166</v>
      </c>
      <c r="B105" s="284" t="s">
        <v>167</v>
      </c>
      <c r="C105" s="284" t="s">
        <v>44</v>
      </c>
      <c r="D105" s="284" t="s">
        <v>168</v>
      </c>
    </row>
    <row r="106" spans="1:4">
      <c r="A106" s="287" t="s">
        <v>169</v>
      </c>
      <c r="B106" s="284" t="s">
        <v>170</v>
      </c>
      <c r="C106" s="284" t="s">
        <v>44</v>
      </c>
      <c r="D106" s="284" t="s">
        <v>168</v>
      </c>
    </row>
    <row r="107" spans="1:4">
      <c r="A107" s="287" t="s">
        <v>171</v>
      </c>
      <c r="B107" s="284" t="s">
        <v>172</v>
      </c>
      <c r="C107" s="284" t="s">
        <v>44</v>
      </c>
      <c r="D107" s="284" t="s">
        <v>168</v>
      </c>
    </row>
    <row r="108" spans="1:4">
      <c r="A108" s="287" t="s">
        <v>173</v>
      </c>
      <c r="B108" s="284" t="s">
        <v>174</v>
      </c>
      <c r="C108" s="284" t="s">
        <v>44</v>
      </c>
      <c r="D108" s="284" t="s">
        <v>168</v>
      </c>
    </row>
    <row r="109" spans="1:4">
      <c r="A109" s="287" t="s">
        <v>175</v>
      </c>
      <c r="B109" s="284" t="s">
        <v>176</v>
      </c>
      <c r="C109" s="284" t="s">
        <v>44</v>
      </c>
      <c r="D109" s="284" t="s">
        <v>177</v>
      </c>
    </row>
    <row r="110" spans="1:4">
      <c r="A110" s="287" t="s">
        <v>178</v>
      </c>
      <c r="B110" s="284" t="s">
        <v>179</v>
      </c>
      <c r="C110" s="284" t="s">
        <v>44</v>
      </c>
      <c r="D110" s="284" t="s">
        <v>177</v>
      </c>
    </row>
    <row r="111" spans="1:4">
      <c r="A111" s="287" t="s">
        <v>180</v>
      </c>
      <c r="B111" s="284" t="s">
        <v>181</v>
      </c>
      <c r="C111" s="284" t="s">
        <v>44</v>
      </c>
      <c r="D111" s="284" t="s">
        <v>177</v>
      </c>
    </row>
    <row r="112" spans="1:4">
      <c r="A112" s="287" t="s">
        <v>182</v>
      </c>
      <c r="B112" s="284" t="s">
        <v>183</v>
      </c>
      <c r="C112" s="284" t="s">
        <v>19</v>
      </c>
      <c r="D112" s="284" t="s">
        <v>184</v>
      </c>
    </row>
    <row r="113" spans="1:4">
      <c r="A113" s="287" t="s">
        <v>185</v>
      </c>
      <c r="B113" s="284" t="s">
        <v>186</v>
      </c>
      <c r="C113" s="284" t="s">
        <v>44</v>
      </c>
      <c r="D113" s="284" t="s">
        <v>187</v>
      </c>
    </row>
    <row r="114" spans="1:4">
      <c r="A114" s="287" t="s">
        <v>188</v>
      </c>
      <c r="B114" s="284" t="s">
        <v>189</v>
      </c>
      <c r="C114" s="284" t="s">
        <v>19</v>
      </c>
      <c r="D114" s="284" t="s">
        <v>190</v>
      </c>
    </row>
    <row r="115" spans="1:4">
      <c r="A115" s="287" t="s">
        <v>191</v>
      </c>
      <c r="B115" s="284" t="s">
        <v>192</v>
      </c>
      <c r="C115" s="284" t="s">
        <v>19</v>
      </c>
      <c r="D115" s="284" t="s">
        <v>193</v>
      </c>
    </row>
    <row r="116" spans="1:4">
      <c r="A116" s="287" t="s">
        <v>194</v>
      </c>
      <c r="B116" s="284" t="s">
        <v>195</v>
      </c>
      <c r="C116" s="284" t="s">
        <v>44</v>
      </c>
      <c r="D116" s="284" t="s">
        <v>196</v>
      </c>
    </row>
    <row r="117" spans="1:4">
      <c r="A117" s="287" t="s">
        <v>197</v>
      </c>
      <c r="B117" s="284" t="s">
        <v>198</v>
      </c>
      <c r="C117" s="284" t="s">
        <v>44</v>
      </c>
      <c r="D117" s="284" t="s">
        <v>196</v>
      </c>
    </row>
    <row r="118" spans="1:4">
      <c r="A118" s="287" t="s">
        <v>199</v>
      </c>
      <c r="B118" s="284" t="s">
        <v>200</v>
      </c>
      <c r="C118" s="284" t="s">
        <v>44</v>
      </c>
      <c r="D118" s="284" t="s">
        <v>196</v>
      </c>
    </row>
    <row r="119" spans="1:4">
      <c r="A119" s="287" t="s">
        <v>201</v>
      </c>
      <c r="B119" s="284" t="s">
        <v>202</v>
      </c>
      <c r="C119" s="284" t="s">
        <v>19</v>
      </c>
      <c r="D119" s="284" t="s">
        <v>203</v>
      </c>
    </row>
    <row r="120" spans="1:4">
      <c r="A120" s="287" t="s">
        <v>204</v>
      </c>
      <c r="B120" s="284" t="s">
        <v>205</v>
      </c>
      <c r="C120" s="284" t="s">
        <v>44</v>
      </c>
      <c r="D120" s="284" t="s">
        <v>206</v>
      </c>
    </row>
    <row r="121" spans="1:4">
      <c r="A121" s="287" t="s">
        <v>207</v>
      </c>
      <c r="B121" s="284" t="s">
        <v>208</v>
      </c>
      <c r="C121" s="284" t="s">
        <v>44</v>
      </c>
      <c r="D121" s="284" t="s">
        <v>209</v>
      </c>
    </row>
    <row r="122" spans="1:4">
      <c r="A122" s="287" t="s">
        <v>210</v>
      </c>
      <c r="B122" s="284" t="s">
        <v>211</v>
      </c>
      <c r="C122" s="284" t="s">
        <v>44</v>
      </c>
      <c r="D122" s="284" t="s">
        <v>212</v>
      </c>
    </row>
    <row r="123" spans="1:4">
      <c r="A123" s="287" t="s">
        <v>213</v>
      </c>
      <c r="B123" s="284" t="s">
        <v>214</v>
      </c>
      <c r="C123" s="284" t="s">
        <v>19</v>
      </c>
      <c r="D123" s="284" t="s">
        <v>215</v>
      </c>
    </row>
    <row r="124" spans="1:4">
      <c r="A124" s="287" t="s">
        <v>216</v>
      </c>
      <c r="B124" s="284" t="s">
        <v>217</v>
      </c>
      <c r="C124" s="284" t="s">
        <v>44</v>
      </c>
      <c r="D124" s="284" t="s">
        <v>218</v>
      </c>
    </row>
    <row r="125" spans="1:4">
      <c r="A125" s="287" t="s">
        <v>219</v>
      </c>
      <c r="B125" s="284" t="s">
        <v>220</v>
      </c>
      <c r="C125" s="284" t="s">
        <v>44</v>
      </c>
      <c r="D125" s="284" t="s">
        <v>218</v>
      </c>
    </row>
    <row r="126" spans="1:4">
      <c r="A126" s="287" t="s">
        <v>221</v>
      </c>
      <c r="B126" s="284" t="s">
        <v>222</v>
      </c>
      <c r="C126" s="284" t="s">
        <v>44</v>
      </c>
      <c r="D126" s="284" t="s">
        <v>218</v>
      </c>
    </row>
    <row r="127" spans="1:4">
      <c r="A127" s="287" t="s">
        <v>223</v>
      </c>
      <c r="B127" s="284" t="s">
        <v>224</v>
      </c>
      <c r="C127" s="284" t="s">
        <v>44</v>
      </c>
      <c r="D127" s="284" t="s">
        <v>218</v>
      </c>
    </row>
    <row r="128" spans="1:4">
      <c r="A128" s="287" t="s">
        <v>225</v>
      </c>
      <c r="B128" s="284" t="s">
        <v>226</v>
      </c>
      <c r="C128" s="284" t="s">
        <v>44</v>
      </c>
      <c r="D128" s="284" t="s">
        <v>218</v>
      </c>
    </row>
    <row r="129" spans="1:4">
      <c r="A129" s="287" t="s">
        <v>227</v>
      </c>
      <c r="B129" s="284" t="s">
        <v>228</v>
      </c>
      <c r="C129" s="284" t="s">
        <v>44</v>
      </c>
      <c r="D129" s="284" t="s">
        <v>218</v>
      </c>
    </row>
    <row r="130" spans="1:4">
      <c r="A130" s="287" t="s">
        <v>229</v>
      </c>
      <c r="B130" s="284" t="s">
        <v>230</v>
      </c>
      <c r="C130" s="284" t="s">
        <v>44</v>
      </c>
      <c r="D130" s="284" t="s">
        <v>218</v>
      </c>
    </row>
    <row r="131" spans="1:4">
      <c r="A131" s="287" t="s">
        <v>231</v>
      </c>
      <c r="B131" s="284" t="s">
        <v>232</v>
      </c>
      <c r="C131" s="284" t="s">
        <v>44</v>
      </c>
      <c r="D131" s="284" t="s">
        <v>218</v>
      </c>
    </row>
    <row r="132" spans="1:4">
      <c r="A132" s="287" t="s">
        <v>233</v>
      </c>
      <c r="B132" s="284" t="s">
        <v>234</v>
      </c>
      <c r="C132" s="284" t="s">
        <v>44</v>
      </c>
      <c r="D132" s="284" t="s">
        <v>218</v>
      </c>
    </row>
    <row r="133" spans="1:4">
      <c r="A133" s="287" t="s">
        <v>235</v>
      </c>
      <c r="B133" s="284" t="s">
        <v>236</v>
      </c>
      <c r="C133" s="284" t="s">
        <v>44</v>
      </c>
      <c r="D133" s="284" t="s">
        <v>218</v>
      </c>
    </row>
    <row r="134" spans="1:4">
      <c r="A134" s="287" t="s">
        <v>237</v>
      </c>
      <c r="B134" s="284" t="s">
        <v>238</v>
      </c>
      <c r="C134" s="284" t="s">
        <v>44</v>
      </c>
      <c r="D134" s="284" t="s">
        <v>218</v>
      </c>
    </row>
    <row r="135" spans="1:4">
      <c r="A135" s="287" t="s">
        <v>239</v>
      </c>
      <c r="B135" s="284" t="s">
        <v>240</v>
      </c>
      <c r="C135" s="284" t="s">
        <v>44</v>
      </c>
      <c r="D135" s="284" t="s">
        <v>218</v>
      </c>
    </row>
    <row r="136" spans="1:4">
      <c r="A136" s="287" t="s">
        <v>241</v>
      </c>
      <c r="B136" s="284" t="s">
        <v>242</v>
      </c>
      <c r="C136" s="284" t="s">
        <v>44</v>
      </c>
      <c r="D136" s="284" t="s">
        <v>218</v>
      </c>
    </row>
    <row r="137" spans="1:4">
      <c r="A137" s="287" t="s">
        <v>243</v>
      </c>
      <c r="B137" s="284" t="s">
        <v>244</v>
      </c>
      <c r="C137" s="284" t="s">
        <v>44</v>
      </c>
      <c r="D137" s="284" t="s">
        <v>218</v>
      </c>
    </row>
    <row r="138" spans="1:4">
      <c r="A138" s="287" t="s">
        <v>245</v>
      </c>
      <c r="B138" s="284" t="s">
        <v>246</v>
      </c>
      <c r="C138" s="284" t="s">
        <v>44</v>
      </c>
      <c r="D138" s="284" t="s">
        <v>218</v>
      </c>
    </row>
    <row r="139" spans="1:4">
      <c r="A139" s="287" t="s">
        <v>247</v>
      </c>
      <c r="B139" s="284" t="s">
        <v>248</v>
      </c>
      <c r="C139" s="284" t="s">
        <v>44</v>
      </c>
      <c r="D139" s="284" t="s">
        <v>218</v>
      </c>
    </row>
    <row r="140" spans="1:4">
      <c r="A140" s="287" t="s">
        <v>249</v>
      </c>
      <c r="B140" s="284" t="s">
        <v>250</v>
      </c>
      <c r="C140" s="284" t="s">
        <v>44</v>
      </c>
      <c r="D140" s="284" t="s">
        <v>218</v>
      </c>
    </row>
    <row r="141" spans="1:4">
      <c r="A141" s="287" t="s">
        <v>251</v>
      </c>
      <c r="B141" s="284" t="s">
        <v>252</v>
      </c>
      <c r="C141" s="284" t="s">
        <v>44</v>
      </c>
      <c r="D141" s="284" t="s">
        <v>218</v>
      </c>
    </row>
    <row r="142" spans="1:4">
      <c r="A142" s="287" t="s">
        <v>253</v>
      </c>
      <c r="B142" s="284" t="s">
        <v>254</v>
      </c>
      <c r="C142" s="284" t="s">
        <v>44</v>
      </c>
      <c r="D142" s="284" t="s">
        <v>255</v>
      </c>
    </row>
    <row r="143" spans="1:4">
      <c r="A143" s="287" t="s">
        <v>256</v>
      </c>
      <c r="B143" s="284" t="s">
        <v>257</v>
      </c>
      <c r="C143" s="284" t="s">
        <v>44</v>
      </c>
      <c r="D143" s="284" t="s">
        <v>255</v>
      </c>
    </row>
    <row r="144" spans="1:4">
      <c r="A144" s="287" t="s">
        <v>258</v>
      </c>
      <c r="B144" s="284" t="s">
        <v>259</v>
      </c>
      <c r="C144" s="284" t="s">
        <v>44</v>
      </c>
      <c r="D144" s="284" t="s">
        <v>255</v>
      </c>
    </row>
    <row r="145" spans="1:4">
      <c r="A145" s="287" t="s">
        <v>260</v>
      </c>
      <c r="B145" s="284" t="s">
        <v>261</v>
      </c>
      <c r="C145" s="284" t="s">
        <v>44</v>
      </c>
      <c r="D145" s="284" t="s">
        <v>255</v>
      </c>
    </row>
    <row r="146" spans="1:4">
      <c r="A146" s="287" t="s">
        <v>262</v>
      </c>
      <c r="B146" s="284" t="s">
        <v>263</v>
      </c>
      <c r="C146" s="284" t="s">
        <v>44</v>
      </c>
      <c r="D146" s="284" t="s">
        <v>255</v>
      </c>
    </row>
    <row r="147" spans="1:4">
      <c r="A147" s="287" t="s">
        <v>264</v>
      </c>
      <c r="B147" s="284" t="s">
        <v>265</v>
      </c>
      <c r="C147" s="284" t="s">
        <v>19</v>
      </c>
      <c r="D147" s="284" t="s">
        <v>266</v>
      </c>
    </row>
    <row r="148" spans="1:4">
      <c r="A148" s="287" t="s">
        <v>267</v>
      </c>
      <c r="B148" s="284" t="s">
        <v>268</v>
      </c>
      <c r="C148" s="284" t="s">
        <v>44</v>
      </c>
      <c r="D148" s="284" t="s">
        <v>269</v>
      </c>
    </row>
    <row r="149" spans="1:4">
      <c r="A149" s="287" t="s">
        <v>270</v>
      </c>
      <c r="B149" s="284" t="s">
        <v>271</v>
      </c>
      <c r="C149" s="284" t="s">
        <v>44</v>
      </c>
      <c r="D149" s="284" t="s">
        <v>269</v>
      </c>
    </row>
    <row r="150" spans="1:4">
      <c r="A150" s="287" t="s">
        <v>272</v>
      </c>
      <c r="B150" s="284" t="s">
        <v>273</v>
      </c>
      <c r="C150" s="284" t="s">
        <v>44</v>
      </c>
      <c r="D150" s="284" t="s">
        <v>269</v>
      </c>
    </row>
    <row r="151" spans="1:4">
      <c r="A151" s="287" t="s">
        <v>274</v>
      </c>
      <c r="B151" s="284" t="s">
        <v>275</v>
      </c>
      <c r="C151" s="284" t="s">
        <v>44</v>
      </c>
      <c r="D151" s="284" t="s">
        <v>276</v>
      </c>
    </row>
    <row r="152" spans="1:4">
      <c r="A152" s="287" t="s">
        <v>277</v>
      </c>
      <c r="B152" s="284" t="s">
        <v>278</v>
      </c>
      <c r="C152" s="284" t="s">
        <v>44</v>
      </c>
      <c r="D152" s="284" t="s">
        <v>279</v>
      </c>
    </row>
    <row r="153" spans="1:4">
      <c r="A153" s="287" t="s">
        <v>280</v>
      </c>
      <c r="B153" s="284" t="s">
        <v>281</v>
      </c>
      <c r="C153" s="284" t="s">
        <v>44</v>
      </c>
      <c r="D153" s="284" t="s">
        <v>282</v>
      </c>
    </row>
    <row r="154" spans="1:4">
      <c r="A154" s="287" t="s">
        <v>283</v>
      </c>
      <c r="B154" s="284" t="s">
        <v>283</v>
      </c>
      <c r="C154" s="284" t="s">
        <v>19</v>
      </c>
      <c r="D154" s="284" t="s">
        <v>284</v>
      </c>
    </row>
    <row r="155" spans="1:4">
      <c r="A155" s="287" t="s">
        <v>285</v>
      </c>
      <c r="B155" s="284" t="s">
        <v>286</v>
      </c>
      <c r="C155" s="284" t="s">
        <v>44</v>
      </c>
      <c r="D155" s="284" t="s">
        <v>287</v>
      </c>
    </row>
    <row r="156" spans="1:4">
      <c r="A156" s="287" t="s">
        <v>288</v>
      </c>
      <c r="B156" s="284" t="s">
        <v>289</v>
      </c>
      <c r="C156" s="284" t="s">
        <v>44</v>
      </c>
      <c r="D156" s="284" t="s">
        <v>279</v>
      </c>
    </row>
    <row r="157" spans="1:4">
      <c r="A157" s="287" t="s">
        <v>290</v>
      </c>
      <c r="B157" s="284" t="s">
        <v>291</v>
      </c>
      <c r="C157" s="284" t="s">
        <v>44</v>
      </c>
      <c r="D157" s="284" t="s">
        <v>282</v>
      </c>
    </row>
    <row r="158" spans="1:4">
      <c r="A158" s="287" t="s">
        <v>292</v>
      </c>
      <c r="B158" s="284" t="s">
        <v>293</v>
      </c>
      <c r="C158" s="284" t="s">
        <v>44</v>
      </c>
      <c r="D158" s="284" t="s">
        <v>122</v>
      </c>
    </row>
    <row r="159" spans="1:4" ht="15">
      <c r="A159" s="289" t="s">
        <v>294</v>
      </c>
      <c r="B159" s="290" t="s">
        <v>295</v>
      </c>
      <c r="C159" s="290" t="s">
        <v>44</v>
      </c>
      <c r="D159" s="290" t="s">
        <v>296</v>
      </c>
    </row>
    <row r="160" spans="1:4" ht="15">
      <c r="A160" s="287" t="s">
        <v>297</v>
      </c>
      <c r="B160" s="290" t="s">
        <v>298</v>
      </c>
      <c r="C160" s="290" t="s">
        <v>44</v>
      </c>
      <c r="D160" s="290" t="s">
        <v>296</v>
      </c>
    </row>
    <row r="161" spans="1:4" ht="15">
      <c r="A161" s="287" t="s">
        <v>299</v>
      </c>
      <c r="B161" s="290" t="s">
        <v>300</v>
      </c>
      <c r="C161" s="290" t="s">
        <v>44</v>
      </c>
      <c r="D161" s="290" t="s">
        <v>296</v>
      </c>
    </row>
    <row r="162" spans="1:4" ht="15">
      <c r="A162" s="289" t="s">
        <v>301</v>
      </c>
      <c r="B162" s="290" t="s">
        <v>302</v>
      </c>
      <c r="C162" s="290" t="s">
        <v>44</v>
      </c>
      <c r="D162" s="290" t="s">
        <v>296</v>
      </c>
    </row>
    <row r="163" spans="1:4" ht="15">
      <c r="A163" s="289" t="s">
        <v>303</v>
      </c>
      <c r="B163" s="290" t="s">
        <v>304</v>
      </c>
      <c r="C163" s="290" t="s">
        <v>44</v>
      </c>
      <c r="D163" s="290" t="s">
        <v>296</v>
      </c>
    </row>
    <row r="164" spans="1:4" ht="15">
      <c r="A164" s="291" t="s">
        <v>305</v>
      </c>
      <c r="B164" s="290" t="s">
        <v>306</v>
      </c>
      <c r="C164" s="290" t="s">
        <v>19</v>
      </c>
      <c r="D164" s="290" t="s">
        <v>307</v>
      </c>
    </row>
    <row r="165" spans="1:4" ht="15">
      <c r="A165" s="289" t="s">
        <v>308</v>
      </c>
      <c r="B165" s="290" t="s">
        <v>309</v>
      </c>
      <c r="C165" s="290" t="s">
        <v>19</v>
      </c>
      <c r="D165" s="290" t="s">
        <v>310</v>
      </c>
    </row>
    <row r="166" spans="1:4" ht="15">
      <c r="A166" s="289" t="s">
        <v>311</v>
      </c>
      <c r="B166" s="290" t="s">
        <v>312</v>
      </c>
      <c r="C166" s="290" t="s">
        <v>19</v>
      </c>
      <c r="D166" s="290" t="s">
        <v>313</v>
      </c>
    </row>
    <row r="167" spans="1:4" ht="15">
      <c r="A167" s="289" t="s">
        <v>314</v>
      </c>
      <c r="B167" s="290" t="s">
        <v>315</v>
      </c>
      <c r="C167" s="290" t="s">
        <v>19</v>
      </c>
      <c r="D167" s="290" t="s">
        <v>316</v>
      </c>
    </row>
    <row r="168" spans="1:4" ht="15">
      <c r="A168" s="289" t="s">
        <v>317</v>
      </c>
      <c r="B168" s="290" t="s">
        <v>318</v>
      </c>
      <c r="C168" s="290" t="s">
        <v>19</v>
      </c>
      <c r="D168" s="290" t="s">
        <v>319</v>
      </c>
    </row>
    <row r="169" spans="1:4" ht="15">
      <c r="A169" s="289" t="s">
        <v>320</v>
      </c>
      <c r="B169" s="290" t="s">
        <v>321</v>
      </c>
      <c r="C169" s="290" t="s">
        <v>19</v>
      </c>
      <c r="D169" s="290" t="s">
        <v>322</v>
      </c>
    </row>
    <row r="170" spans="1:4" ht="15">
      <c r="A170" s="289" t="s">
        <v>323</v>
      </c>
      <c r="B170" s="290" t="s">
        <v>324</v>
      </c>
      <c r="C170" s="290" t="s">
        <v>325</v>
      </c>
      <c r="D170" s="290" t="s">
        <v>326</v>
      </c>
    </row>
    <row r="171" spans="1:4" ht="15">
      <c r="A171" s="289" t="s">
        <v>327</v>
      </c>
      <c r="B171" s="290" t="s">
        <v>328</v>
      </c>
      <c r="C171" s="290" t="s">
        <v>19</v>
      </c>
      <c r="D171" s="292" t="s">
        <v>329</v>
      </c>
    </row>
    <row r="172" spans="1:4" ht="15">
      <c r="A172" s="289" t="s">
        <v>330</v>
      </c>
      <c r="B172" s="292" t="s">
        <v>331</v>
      </c>
      <c r="C172" s="290" t="s">
        <v>325</v>
      </c>
      <c r="D172" s="292" t="s">
        <v>332</v>
      </c>
    </row>
    <row r="173" spans="1:4" ht="15">
      <c r="A173" s="289" t="s">
        <v>333</v>
      </c>
      <c r="B173" s="292" t="s">
        <v>334</v>
      </c>
      <c r="C173" s="290" t="s">
        <v>325</v>
      </c>
      <c r="D173" s="292" t="s">
        <v>335</v>
      </c>
    </row>
    <row r="174" spans="1:4" ht="15">
      <c r="A174" s="289" t="s">
        <v>336</v>
      </c>
      <c r="B174" s="290" t="s">
        <v>337</v>
      </c>
      <c r="C174" s="290" t="s">
        <v>325</v>
      </c>
      <c r="D174" s="292" t="s">
        <v>338</v>
      </c>
    </row>
    <row r="175" spans="1:4" ht="15">
      <c r="A175" s="289" t="s">
        <v>339</v>
      </c>
      <c r="B175" s="290" t="s">
        <v>340</v>
      </c>
      <c r="C175" s="290" t="s">
        <v>325</v>
      </c>
      <c r="D175" s="292" t="s">
        <v>341</v>
      </c>
    </row>
    <row r="176" spans="1:4" ht="15">
      <c r="A176" s="289" t="s">
        <v>342</v>
      </c>
      <c r="B176" s="290" t="s">
        <v>343</v>
      </c>
      <c r="C176" s="290" t="s">
        <v>325</v>
      </c>
      <c r="D176" s="292" t="s">
        <v>344</v>
      </c>
    </row>
    <row r="177" spans="1:4" ht="15">
      <c r="A177" s="289" t="s">
        <v>345</v>
      </c>
      <c r="B177" s="290" t="s">
        <v>346</v>
      </c>
      <c r="C177" s="290" t="s">
        <v>325</v>
      </c>
      <c r="D177" s="292" t="s">
        <v>347</v>
      </c>
    </row>
    <row r="178" spans="1:4" ht="15">
      <c r="A178" s="289" t="s">
        <v>348</v>
      </c>
      <c r="B178" s="290" t="s">
        <v>349</v>
      </c>
      <c r="C178" s="290" t="s">
        <v>325</v>
      </c>
      <c r="D178" s="292" t="s">
        <v>350</v>
      </c>
    </row>
    <row r="179" spans="1:4" ht="15">
      <c r="A179" s="289" t="s">
        <v>351</v>
      </c>
      <c r="B179" s="290" t="s">
        <v>352</v>
      </c>
      <c r="C179" s="290" t="s">
        <v>19</v>
      </c>
      <c r="D179" s="292" t="s">
        <v>353</v>
      </c>
    </row>
    <row r="180" spans="1:4" ht="15">
      <c r="A180" s="289" t="s">
        <v>354</v>
      </c>
      <c r="B180" s="290" t="s">
        <v>355</v>
      </c>
      <c r="C180" s="292" t="s">
        <v>19</v>
      </c>
      <c r="D180" s="292" t="s">
        <v>356</v>
      </c>
    </row>
    <row r="181" spans="1:4" ht="15">
      <c r="A181" s="289" t="s">
        <v>357</v>
      </c>
      <c r="B181" s="290" t="s">
        <v>358</v>
      </c>
      <c r="C181" s="292" t="s">
        <v>19</v>
      </c>
      <c r="D181" s="292" t="s">
        <v>359</v>
      </c>
    </row>
    <row r="182" spans="1:4" ht="15">
      <c r="A182" s="289" t="s">
        <v>360</v>
      </c>
      <c r="B182" s="290" t="s">
        <v>361</v>
      </c>
      <c r="C182" s="290" t="s">
        <v>325</v>
      </c>
      <c r="D182" s="293" t="s">
        <v>362</v>
      </c>
    </row>
    <row r="183" spans="1:4" ht="15">
      <c r="A183" s="289" t="s">
        <v>363</v>
      </c>
      <c r="B183" s="290" t="s">
        <v>364</v>
      </c>
      <c r="C183" s="290" t="s">
        <v>44</v>
      </c>
      <c r="D183" s="290" t="s">
        <v>365</v>
      </c>
    </row>
    <row r="184" spans="1:4" ht="15">
      <c r="A184" s="289" t="s">
        <v>366</v>
      </c>
      <c r="B184" s="292" t="s">
        <v>367</v>
      </c>
      <c r="C184" s="290" t="s">
        <v>44</v>
      </c>
      <c r="D184" s="290" t="s">
        <v>368</v>
      </c>
    </row>
    <row r="185" spans="1:4" ht="15">
      <c r="A185" s="289" t="s">
        <v>369</v>
      </c>
      <c r="B185" s="290" t="s">
        <v>164</v>
      </c>
      <c r="C185" s="290" t="s">
        <v>44</v>
      </c>
      <c r="D185" s="290" t="s">
        <v>165</v>
      </c>
    </row>
    <row r="186" spans="1:4" ht="15">
      <c r="A186" s="289" t="s">
        <v>370</v>
      </c>
      <c r="B186" s="290" t="s">
        <v>371</v>
      </c>
      <c r="C186" s="290" t="s">
        <v>44</v>
      </c>
      <c r="D186" s="290" t="s">
        <v>372</v>
      </c>
    </row>
    <row r="187" spans="1:4" ht="15">
      <c r="A187" s="289" t="s">
        <v>373</v>
      </c>
      <c r="B187" s="290" t="s">
        <v>374</v>
      </c>
      <c r="C187" s="290" t="s">
        <v>44</v>
      </c>
      <c r="D187" s="290" t="s">
        <v>375</v>
      </c>
    </row>
    <row r="188" spans="1:4" ht="15">
      <c r="A188" s="289" t="s">
        <v>376</v>
      </c>
      <c r="B188" s="290" t="s">
        <v>377</v>
      </c>
      <c r="C188" s="290" t="s">
        <v>44</v>
      </c>
      <c r="D188" s="290" t="s">
        <v>375</v>
      </c>
    </row>
    <row r="189" spans="1:4" ht="15">
      <c r="A189" s="289" t="s">
        <v>378</v>
      </c>
      <c r="B189" s="290" t="s">
        <v>379</v>
      </c>
      <c r="C189" s="290" t="s">
        <v>44</v>
      </c>
      <c r="D189" s="290" t="s">
        <v>375</v>
      </c>
    </row>
    <row r="190" spans="1:4" ht="15">
      <c r="A190" s="289" t="s">
        <v>380</v>
      </c>
      <c r="B190" s="290" t="s">
        <v>381</v>
      </c>
      <c r="C190" s="290" t="s">
        <v>44</v>
      </c>
      <c r="D190" s="290" t="s">
        <v>375</v>
      </c>
    </row>
    <row r="191" spans="1:4" ht="15">
      <c r="A191" s="289" t="s">
        <v>382</v>
      </c>
      <c r="B191" s="290" t="s">
        <v>383</v>
      </c>
      <c r="C191" s="290" t="s">
        <v>44</v>
      </c>
      <c r="D191" s="290" t="s">
        <v>375</v>
      </c>
    </row>
    <row r="192" spans="1:4" ht="15">
      <c r="A192" s="289" t="s">
        <v>384</v>
      </c>
      <c r="B192" s="290" t="s">
        <v>385</v>
      </c>
      <c r="C192" s="290" t="s">
        <v>44</v>
      </c>
      <c r="D192" s="290" t="s">
        <v>375</v>
      </c>
    </row>
    <row r="193" spans="1:4" ht="15">
      <c r="A193" s="289" t="s">
        <v>386</v>
      </c>
      <c r="B193" s="290" t="s">
        <v>387</v>
      </c>
      <c r="C193" s="290" t="s">
        <v>44</v>
      </c>
      <c r="D193" s="290" t="s">
        <v>375</v>
      </c>
    </row>
    <row r="194" spans="1:4" ht="15">
      <c r="A194" s="289" t="s">
        <v>388</v>
      </c>
      <c r="B194" s="290" t="s">
        <v>389</v>
      </c>
      <c r="C194" s="290" t="s">
        <v>44</v>
      </c>
      <c r="D194" s="290" t="s">
        <v>390</v>
      </c>
    </row>
    <row r="195" spans="1:4" ht="15">
      <c r="A195" s="289" t="s">
        <v>391</v>
      </c>
      <c r="B195" s="290" t="s">
        <v>392</v>
      </c>
      <c r="C195" s="290" t="s">
        <v>44</v>
      </c>
      <c r="D195" s="292" t="s">
        <v>393</v>
      </c>
    </row>
    <row r="196" spans="1:4" ht="15">
      <c r="A196" s="289" t="s">
        <v>394</v>
      </c>
      <c r="B196" s="290" t="s">
        <v>395</v>
      </c>
      <c r="C196" s="290" t="s">
        <v>44</v>
      </c>
      <c r="D196" s="292" t="s">
        <v>393</v>
      </c>
    </row>
    <row r="197" spans="1:4" ht="15">
      <c r="A197" s="289" t="s">
        <v>396</v>
      </c>
      <c r="B197" s="290" t="s">
        <v>397</v>
      </c>
      <c r="C197" s="290" t="s">
        <v>44</v>
      </c>
      <c r="D197" s="292" t="s">
        <v>393</v>
      </c>
    </row>
    <row r="198" spans="1:4" ht="15">
      <c r="A198" s="289" t="s">
        <v>398</v>
      </c>
      <c r="B198" s="290" t="s">
        <v>399</v>
      </c>
      <c r="C198" s="290" t="s">
        <v>44</v>
      </c>
      <c r="D198" s="292" t="s">
        <v>393</v>
      </c>
    </row>
    <row r="199" spans="1:4" ht="15">
      <c r="A199" s="289" t="s">
        <v>400</v>
      </c>
      <c r="B199" s="290" t="s">
        <v>401</v>
      </c>
      <c r="C199" s="290" t="s">
        <v>44</v>
      </c>
      <c r="D199" s="290" t="s">
        <v>131</v>
      </c>
    </row>
    <row r="200" spans="1:4" ht="15">
      <c r="A200" s="289" t="s">
        <v>402</v>
      </c>
      <c r="B200" s="292" t="s">
        <v>403</v>
      </c>
      <c r="C200" s="292" t="s">
        <v>44</v>
      </c>
      <c r="D200" s="292" t="s">
        <v>404</v>
      </c>
    </row>
    <row r="201" spans="1:4" ht="15">
      <c r="A201" s="289" t="s">
        <v>405</v>
      </c>
      <c r="B201" s="292" t="s">
        <v>406</v>
      </c>
      <c r="C201" s="292" t="s">
        <v>44</v>
      </c>
      <c r="D201" s="292" t="s">
        <v>368</v>
      </c>
    </row>
    <row r="202" spans="1:4" ht="15">
      <c r="A202" s="289" t="s">
        <v>407</v>
      </c>
      <c r="B202" s="292" t="s">
        <v>408</v>
      </c>
      <c r="C202" s="292" t="s">
        <v>19</v>
      </c>
      <c r="D202" s="292" t="s">
        <v>409</v>
      </c>
    </row>
    <row r="203" spans="1:4" ht="15.75">
      <c r="A203" s="294" t="s">
        <v>410</v>
      </c>
      <c r="B203" s="280" t="s">
        <v>410</v>
      </c>
      <c r="C203" s="292" t="s">
        <v>44</v>
      </c>
      <c r="D203" s="295" t="s">
        <v>411</v>
      </c>
    </row>
  </sheetData>
  <sheetProtection formatCells="0" insertHyperlinks="0" autoFilter="0"/>
  <autoFilter ref="A3:H203"/>
  <conditionalFormatting sqref="A3">
    <cfRule type="duplicateValues" dxfId="54" priority="54"/>
  </conditionalFormatting>
  <conditionalFormatting sqref="A23">
    <cfRule type="duplicateValues" dxfId="53" priority="20"/>
  </conditionalFormatting>
  <conditionalFormatting sqref="A24">
    <cfRule type="duplicateValues" dxfId="52" priority="19"/>
  </conditionalFormatting>
  <conditionalFormatting sqref="A90">
    <cfRule type="duplicateValues" dxfId="51" priority="16"/>
  </conditionalFormatting>
  <conditionalFormatting sqref="A91">
    <cfRule type="duplicateValues" dxfId="50" priority="15"/>
  </conditionalFormatting>
  <conditionalFormatting sqref="A100">
    <cfRule type="duplicateValues" dxfId="49" priority="12"/>
  </conditionalFormatting>
  <conditionalFormatting sqref="A151">
    <cfRule type="duplicateValues" dxfId="48" priority="6"/>
  </conditionalFormatting>
  <conditionalFormatting sqref="A157">
    <cfRule type="duplicateValues" dxfId="47" priority="3"/>
  </conditionalFormatting>
  <conditionalFormatting sqref="A158">
    <cfRule type="duplicateValues" dxfId="46" priority="2"/>
  </conditionalFormatting>
  <conditionalFormatting sqref="A4:A21">
    <cfRule type="duplicateValues" dxfId="45" priority="21"/>
  </conditionalFormatting>
  <conditionalFormatting sqref="A4:A71">
    <cfRule type="duplicateValues" dxfId="44" priority="18"/>
  </conditionalFormatting>
  <conditionalFormatting sqref="A72:A89">
    <cfRule type="duplicateValues" dxfId="43" priority="17"/>
  </conditionalFormatting>
  <conditionalFormatting sqref="A92:A97">
    <cfRule type="duplicateValues" dxfId="42" priority="14"/>
  </conditionalFormatting>
  <conditionalFormatting sqref="A98:A99">
    <cfRule type="duplicateValues" dxfId="41" priority="13"/>
  </conditionalFormatting>
  <conditionalFormatting sqref="A101:A109">
    <cfRule type="duplicateValues" dxfId="40" priority="11"/>
  </conditionalFormatting>
  <conditionalFormatting sqref="A110:A123">
    <cfRule type="duplicateValues" dxfId="39" priority="10"/>
  </conditionalFormatting>
  <conditionalFormatting sqref="A124:A141">
    <cfRule type="duplicateValues" dxfId="38" priority="9"/>
  </conditionalFormatting>
  <conditionalFormatting sqref="A142:A146">
    <cfRule type="duplicateValues" dxfId="37" priority="8"/>
  </conditionalFormatting>
  <conditionalFormatting sqref="A147:A150">
    <cfRule type="duplicateValues" dxfId="36" priority="7"/>
  </conditionalFormatting>
  <conditionalFormatting sqref="A152:A154">
    <cfRule type="duplicateValues" dxfId="35" priority="5"/>
  </conditionalFormatting>
  <conditionalFormatting sqref="A155:A156">
    <cfRule type="duplicateValues" dxfId="34" priority="4"/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7"/>
  <sheetViews>
    <sheetView topLeftCell="C22" zoomScale="85" zoomScaleNormal="85" workbookViewId="0">
      <selection activeCell="C22" sqref="C22"/>
    </sheetView>
  </sheetViews>
  <sheetFormatPr defaultColWidth="9" defaultRowHeight="11.25"/>
  <cols>
    <col min="1" max="1" width="11.42578125" style="274" customWidth="1"/>
    <col min="2" max="2" width="55" style="274" customWidth="1"/>
    <col min="3" max="3" width="34.42578125" style="274" customWidth="1"/>
    <col min="4" max="4" width="37.85546875" style="274" customWidth="1"/>
    <col min="5" max="5" width="23.42578125" style="274" customWidth="1"/>
    <col min="6" max="6" width="10.140625" style="274" customWidth="1"/>
    <col min="7" max="8" width="34.42578125" style="274" customWidth="1"/>
    <col min="9" max="9" width="24.5703125" style="274" customWidth="1"/>
    <col min="10" max="10" width="18.140625" style="274" customWidth="1"/>
    <col min="11" max="12" width="10.140625" style="274" customWidth="1"/>
    <col min="13" max="16384" width="9" style="274"/>
  </cols>
  <sheetData>
    <row r="1" spans="1:12" s="271" customFormat="1" ht="14.25">
      <c r="A1" s="321" t="s">
        <v>412</v>
      </c>
      <c r="B1" s="321"/>
      <c r="C1" s="321"/>
      <c r="D1" s="321"/>
      <c r="E1" s="321"/>
      <c r="F1" s="321"/>
      <c r="G1" s="321"/>
      <c r="H1" s="321"/>
      <c r="I1" s="321"/>
      <c r="J1" s="54"/>
      <c r="K1" s="54"/>
      <c r="L1" s="54"/>
    </row>
    <row r="2" spans="1:12" s="272" customFormat="1" ht="14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1:12" s="272" customFormat="1" ht="14.25">
      <c r="A3" s="54" t="s">
        <v>21</v>
      </c>
      <c r="B3" s="54" t="s">
        <v>43</v>
      </c>
      <c r="C3" s="58" t="s">
        <v>46</v>
      </c>
      <c r="D3" s="58" t="s">
        <v>50</v>
      </c>
      <c r="E3" s="58" t="s">
        <v>51</v>
      </c>
      <c r="F3" s="58" t="s">
        <v>61</v>
      </c>
      <c r="G3" s="58" t="s">
        <v>70</v>
      </c>
      <c r="H3" s="58" t="s">
        <v>71</v>
      </c>
      <c r="I3" s="58" t="s">
        <v>97</v>
      </c>
      <c r="J3" s="58" t="s">
        <v>69</v>
      </c>
      <c r="K3" s="54" t="s">
        <v>48</v>
      </c>
      <c r="L3" s="55"/>
    </row>
    <row r="4" spans="1:12" ht="15">
      <c r="A4" s="55"/>
      <c r="B4" s="275" t="str">
        <f t="shared" ref="B4:B10" si="0">C4</f>
        <v>ICIMWorkflowFlowPart</v>
      </c>
      <c r="C4" s="276" t="s">
        <v>413</v>
      </c>
      <c r="D4" s="276" t="s">
        <v>414</v>
      </c>
      <c r="E4" s="275" t="str">
        <f t="shared" ref="E4:E10" si="1">D4</f>
        <v>流程中实际的流程组块，用于上下流转的</v>
      </c>
      <c r="F4" s="275" t="b">
        <v>1</v>
      </c>
      <c r="G4" s="301" t="s">
        <v>415</v>
      </c>
      <c r="H4" s="301" t="s">
        <v>416</v>
      </c>
      <c r="I4" s="275">
        <v>5005</v>
      </c>
      <c r="J4" s="278" t="s">
        <v>417</v>
      </c>
      <c r="K4" s="275" t="s">
        <v>418</v>
      </c>
      <c r="L4" s="55"/>
    </row>
    <row r="5" spans="1:12" s="273" customFormat="1" ht="15">
      <c r="A5" s="275"/>
      <c r="B5" s="275" t="str">
        <f t="shared" si="0"/>
        <v>ICIMWorkflow</v>
      </c>
      <c r="C5" s="275" t="s">
        <v>390</v>
      </c>
      <c r="D5" s="275" t="s">
        <v>419</v>
      </c>
      <c r="E5" s="275" t="str">
        <f t="shared" si="1"/>
        <v>工作流</v>
      </c>
      <c r="F5" s="275" t="b">
        <v>1</v>
      </c>
      <c r="G5" s="301" t="s">
        <v>415</v>
      </c>
      <c r="H5" s="301" t="s">
        <v>416</v>
      </c>
      <c r="I5" s="275">
        <v>5010</v>
      </c>
      <c r="J5" s="278" t="s">
        <v>417</v>
      </c>
      <c r="K5" s="275" t="s">
        <v>418</v>
      </c>
      <c r="L5" s="275"/>
    </row>
    <row r="6" spans="1:12" s="273" customFormat="1" ht="15">
      <c r="A6" s="275"/>
      <c r="B6" s="275" t="str">
        <f t="shared" si="0"/>
        <v>ICIMWorkflowTemplate</v>
      </c>
      <c r="C6" s="275" t="s">
        <v>372</v>
      </c>
      <c r="D6" s="275" t="s">
        <v>420</v>
      </c>
      <c r="E6" s="275" t="str">
        <f t="shared" si="1"/>
        <v>工作流模板</v>
      </c>
      <c r="F6" s="275" t="b">
        <v>1</v>
      </c>
      <c r="G6" s="301" t="s">
        <v>415</v>
      </c>
      <c r="H6" s="301" t="s">
        <v>416</v>
      </c>
      <c r="I6" s="275">
        <v>5020</v>
      </c>
      <c r="J6" s="278" t="s">
        <v>417</v>
      </c>
      <c r="K6" s="275" t="s">
        <v>418</v>
      </c>
      <c r="L6" s="275"/>
    </row>
    <row r="7" spans="1:12" s="273" customFormat="1" ht="15">
      <c r="A7" s="277"/>
      <c r="B7" s="275" t="str">
        <f t="shared" si="0"/>
        <v>ICIMWorkflowObject</v>
      </c>
      <c r="C7" s="277" t="s">
        <v>421</v>
      </c>
      <c r="D7" s="277" t="s">
        <v>422</v>
      </c>
      <c r="E7" s="275" t="str">
        <f t="shared" si="1"/>
        <v>工作流实例</v>
      </c>
      <c r="F7" s="275" t="b">
        <v>1</v>
      </c>
      <c r="G7" s="301" t="s">
        <v>415</v>
      </c>
      <c r="H7" s="301" t="s">
        <v>416</v>
      </c>
      <c r="I7" s="275">
        <v>5030</v>
      </c>
      <c r="J7" s="278" t="s">
        <v>417</v>
      </c>
      <c r="K7" s="275" t="s">
        <v>418</v>
      </c>
      <c r="L7" s="277"/>
    </row>
    <row r="8" spans="1:12" s="273" customFormat="1" ht="15">
      <c r="A8" s="275"/>
      <c r="B8" s="275" t="str">
        <f t="shared" si="0"/>
        <v>ICIMWorkflowCondition</v>
      </c>
      <c r="C8" s="275" t="s">
        <v>423</v>
      </c>
      <c r="D8" s="275" t="s">
        <v>424</v>
      </c>
      <c r="E8" s="275" t="str">
        <f t="shared" si="1"/>
        <v>工作流条件</v>
      </c>
      <c r="F8" s="275" t="b">
        <v>1</v>
      </c>
      <c r="G8" s="301" t="s">
        <v>415</v>
      </c>
      <c r="H8" s="301" t="s">
        <v>416</v>
      </c>
      <c r="I8" s="275">
        <v>5040</v>
      </c>
      <c r="J8" s="278" t="s">
        <v>417</v>
      </c>
      <c r="K8" s="275" t="s">
        <v>418</v>
      </c>
      <c r="L8" s="275"/>
    </row>
    <row r="9" spans="1:12" s="273" customFormat="1" ht="15">
      <c r="A9" s="275"/>
      <c r="B9" s="275" t="str">
        <f t="shared" si="0"/>
        <v>ICIMWorkflowNotificationType</v>
      </c>
      <c r="C9" s="275" t="s">
        <v>425</v>
      </c>
      <c r="D9" s="275" t="s">
        <v>426</v>
      </c>
      <c r="E9" s="275" t="str">
        <f t="shared" si="1"/>
        <v>工作流提醒类型</v>
      </c>
      <c r="F9" s="275" t="b">
        <v>1</v>
      </c>
      <c r="G9" s="301" t="s">
        <v>415</v>
      </c>
      <c r="H9" s="301" t="s">
        <v>416</v>
      </c>
      <c r="I9" s="275">
        <v>5050</v>
      </c>
      <c r="J9" s="278" t="s">
        <v>417</v>
      </c>
      <c r="K9" s="275" t="s">
        <v>418</v>
      </c>
      <c r="L9" s="275"/>
    </row>
    <row r="10" spans="1:12" s="273" customFormat="1" ht="15">
      <c r="A10" s="275"/>
      <c r="B10" s="275" t="str">
        <f t="shared" si="0"/>
        <v>ICIMWorkflowItem</v>
      </c>
      <c r="C10" s="275" t="s">
        <v>427</v>
      </c>
      <c r="D10" s="275" t="s">
        <v>428</v>
      </c>
      <c r="E10" s="275" t="str">
        <f t="shared" si="1"/>
        <v>工作项</v>
      </c>
      <c r="F10" s="275" t="b">
        <v>1</v>
      </c>
      <c r="G10" s="301" t="s">
        <v>415</v>
      </c>
      <c r="H10" s="301" t="s">
        <v>416</v>
      </c>
      <c r="I10" s="275">
        <v>5060</v>
      </c>
      <c r="J10" s="278" t="s">
        <v>417</v>
      </c>
      <c r="K10" s="275" t="s">
        <v>418</v>
      </c>
      <c r="L10" s="275"/>
    </row>
    <row r="11" spans="1:12" s="273" customFormat="1" ht="15">
      <c r="A11" s="275"/>
      <c r="B11" s="275" t="str">
        <f t="shared" ref="B11:B29" si="2">C11</f>
        <v>ICIMWorkflowStep</v>
      </c>
      <c r="C11" s="275" t="s">
        <v>296</v>
      </c>
      <c r="D11" s="275" t="s">
        <v>429</v>
      </c>
      <c r="E11" s="275" t="str">
        <f t="shared" ref="E11:E29" si="3">D11</f>
        <v>工作流步骤</v>
      </c>
      <c r="F11" s="275" t="b">
        <v>1</v>
      </c>
      <c r="G11" s="301" t="s">
        <v>415</v>
      </c>
      <c r="H11" s="301" t="s">
        <v>416</v>
      </c>
      <c r="I11" s="275">
        <v>5070</v>
      </c>
      <c r="J11" s="278" t="s">
        <v>417</v>
      </c>
      <c r="K11" s="275" t="s">
        <v>418</v>
      </c>
      <c r="L11" s="275"/>
    </row>
    <row r="12" spans="1:12" s="273" customFormat="1" ht="15">
      <c r="A12" s="275"/>
      <c r="B12" s="275" t="str">
        <f t="shared" si="2"/>
        <v>ICIMWorkflowStepTemplate</v>
      </c>
      <c r="C12" s="275" t="s">
        <v>404</v>
      </c>
      <c r="D12" s="275" t="s">
        <v>430</v>
      </c>
      <c r="E12" s="275" t="str">
        <f t="shared" si="3"/>
        <v>工作流模板步骤</v>
      </c>
      <c r="F12" s="275" t="b">
        <v>1</v>
      </c>
      <c r="G12" s="301" t="s">
        <v>415</v>
      </c>
      <c r="H12" s="301" t="s">
        <v>416</v>
      </c>
      <c r="I12" s="275">
        <v>5080</v>
      </c>
      <c r="J12" s="278" t="s">
        <v>417</v>
      </c>
      <c r="K12" s="275" t="s">
        <v>418</v>
      </c>
      <c r="L12" s="275"/>
    </row>
    <row r="13" spans="1:12" s="272" customFormat="1" ht="15">
      <c r="A13" s="275"/>
      <c r="B13" s="275" t="str">
        <f t="shared" si="2"/>
        <v>ICIMWorkflowStepObject</v>
      </c>
      <c r="C13" s="275" t="s">
        <v>431</v>
      </c>
      <c r="D13" s="275" t="s">
        <v>432</v>
      </c>
      <c r="E13" s="275" t="str">
        <f t="shared" si="3"/>
        <v>工作流步骤实例</v>
      </c>
      <c r="F13" s="275" t="b">
        <v>1</v>
      </c>
      <c r="G13" s="301" t="s">
        <v>415</v>
      </c>
      <c r="H13" s="301" t="s">
        <v>416</v>
      </c>
      <c r="I13" s="275">
        <v>5090</v>
      </c>
      <c r="J13" s="278" t="s">
        <v>417</v>
      </c>
      <c r="K13" s="275" t="s">
        <v>418</v>
      </c>
      <c r="L13" s="275"/>
    </row>
    <row r="14" spans="1:12" s="272" customFormat="1" ht="15">
      <c r="A14" s="275"/>
      <c r="B14" s="275" t="str">
        <f t="shared" si="2"/>
        <v>ICIMWorkflowStepClass</v>
      </c>
      <c r="C14" s="275" t="s">
        <v>411</v>
      </c>
      <c r="D14" s="275" t="s">
        <v>433</v>
      </c>
      <c r="E14" s="275" t="str">
        <f t="shared" si="3"/>
        <v>工作流步骤分类</v>
      </c>
      <c r="F14" s="275" t="b">
        <v>1</v>
      </c>
      <c r="G14" s="301" t="s">
        <v>415</v>
      </c>
      <c r="H14" s="301" t="s">
        <v>416</v>
      </c>
      <c r="I14" s="275">
        <v>5100</v>
      </c>
      <c r="J14" s="278" t="s">
        <v>417</v>
      </c>
      <c r="K14" s="275" t="s">
        <v>418</v>
      </c>
      <c r="L14" s="275"/>
    </row>
    <row r="15" spans="1:12" s="272" customFormat="1" ht="15">
      <c r="A15" s="275"/>
      <c r="B15" s="275" t="str">
        <f t="shared" si="2"/>
        <v>ICIMWorkflowStepDefinition</v>
      </c>
      <c r="C15" s="275" t="s">
        <v>368</v>
      </c>
      <c r="D15" s="275" t="s">
        <v>434</v>
      </c>
      <c r="E15" s="275" t="str">
        <f t="shared" si="3"/>
        <v>工作流步骤定义</v>
      </c>
      <c r="F15" s="275" t="b">
        <v>1</v>
      </c>
      <c r="G15" s="301" t="s">
        <v>415</v>
      </c>
      <c r="H15" s="301" t="s">
        <v>416</v>
      </c>
      <c r="I15" s="275">
        <v>5110</v>
      </c>
      <c r="J15" s="278" t="s">
        <v>417</v>
      </c>
      <c r="K15" s="275" t="s">
        <v>418</v>
      </c>
      <c r="L15" s="275"/>
    </row>
    <row r="16" spans="1:12" s="272" customFormat="1" ht="12.95" customHeight="1">
      <c r="A16" s="275"/>
      <c r="B16" s="275" t="str">
        <f t="shared" si="2"/>
        <v>ICIMWorkflowStepStatus</v>
      </c>
      <c r="C16" s="275" t="s">
        <v>435</v>
      </c>
      <c r="D16" s="275" t="s">
        <v>436</v>
      </c>
      <c r="E16" s="275" t="str">
        <f t="shared" si="3"/>
        <v>工作流步骤状态</v>
      </c>
      <c r="F16" s="275" t="b">
        <v>1</v>
      </c>
      <c r="G16" s="301" t="s">
        <v>415</v>
      </c>
      <c r="H16" s="301" t="s">
        <v>416</v>
      </c>
      <c r="I16" s="275">
        <v>5120</v>
      </c>
      <c r="J16" s="278" t="s">
        <v>417</v>
      </c>
      <c r="K16" s="275" t="s">
        <v>418</v>
      </c>
      <c r="L16" s="275"/>
    </row>
    <row r="17" spans="1:12" s="272" customFormat="1" ht="15">
      <c r="A17" s="275"/>
      <c r="B17" s="275" t="str">
        <f t="shared" si="2"/>
        <v>ICIMWorkflowStepCheckList</v>
      </c>
      <c r="C17" s="275" t="s">
        <v>437</v>
      </c>
      <c r="D17" s="275" t="s">
        <v>438</v>
      </c>
      <c r="E17" s="275" t="str">
        <f t="shared" si="3"/>
        <v>工作流步骤检查列表</v>
      </c>
      <c r="F17" s="275" t="b">
        <v>1</v>
      </c>
      <c r="G17" s="301" t="s">
        <v>415</v>
      </c>
      <c r="H17" s="301" t="s">
        <v>416</v>
      </c>
      <c r="I17" s="275">
        <v>5130</v>
      </c>
      <c r="J17" s="278" t="s">
        <v>417</v>
      </c>
      <c r="K17" s="275" t="s">
        <v>418</v>
      </c>
      <c r="L17" s="275"/>
    </row>
    <row r="18" spans="1:12" ht="15">
      <c r="A18" s="277"/>
      <c r="B18" s="275" t="str">
        <f t="shared" si="2"/>
        <v>ICIMWorkflowStepCheckListObject</v>
      </c>
      <c r="C18" s="277" t="s">
        <v>439</v>
      </c>
      <c r="D18" s="275" t="s">
        <v>440</v>
      </c>
      <c r="E18" s="275" t="str">
        <f t="shared" si="3"/>
        <v>工作流步骤检查列表实例</v>
      </c>
      <c r="F18" s="275" t="b">
        <v>1</v>
      </c>
      <c r="G18" s="301" t="s">
        <v>415</v>
      </c>
      <c r="H18" s="301" t="s">
        <v>416</v>
      </c>
      <c r="I18" s="275">
        <v>5140</v>
      </c>
      <c r="J18" s="278" t="s">
        <v>417</v>
      </c>
      <c r="K18" s="275" t="s">
        <v>418</v>
      </c>
      <c r="L18" s="277"/>
    </row>
    <row r="19" spans="1:12" ht="15">
      <c r="A19" s="63"/>
      <c r="B19" s="275" t="str">
        <f t="shared" si="2"/>
        <v>ICIMWorkflowStepCheckListTemplate</v>
      </c>
      <c r="C19" s="277" t="s">
        <v>441</v>
      </c>
      <c r="D19" s="275" t="s">
        <v>442</v>
      </c>
      <c r="E19" s="275" t="str">
        <f t="shared" si="3"/>
        <v>工作流步骤检查列表模板</v>
      </c>
      <c r="F19" s="275" t="b">
        <v>1</v>
      </c>
      <c r="G19" s="301" t="s">
        <v>415</v>
      </c>
      <c r="H19" s="301" t="s">
        <v>416</v>
      </c>
      <c r="I19" s="275">
        <v>5150</v>
      </c>
      <c r="J19" s="278" t="s">
        <v>417</v>
      </c>
      <c r="K19" s="275" t="s">
        <v>418</v>
      </c>
      <c r="L19" s="63"/>
    </row>
    <row r="20" spans="1:12" ht="15">
      <c r="A20" s="275"/>
      <c r="B20" s="275" t="str">
        <f t="shared" si="2"/>
        <v>ICIMWorkflowStepCheckListItem</v>
      </c>
      <c r="C20" s="275" t="s">
        <v>443</v>
      </c>
      <c r="D20" s="275" t="s">
        <v>444</v>
      </c>
      <c r="E20" s="275" t="str">
        <f t="shared" si="3"/>
        <v>工作流步骤检查项</v>
      </c>
      <c r="F20" s="275" t="b">
        <v>1</v>
      </c>
      <c r="G20" s="301" t="s">
        <v>415</v>
      </c>
      <c r="H20" s="301" t="s">
        <v>416</v>
      </c>
      <c r="I20" s="275">
        <v>5160</v>
      </c>
      <c r="J20" s="278" t="s">
        <v>417</v>
      </c>
      <c r="K20" s="275" t="s">
        <v>418</v>
      </c>
      <c r="L20" s="275"/>
    </row>
    <row r="21" spans="1:12" ht="15">
      <c r="A21" s="55"/>
      <c r="B21" s="275" t="str">
        <f t="shared" si="2"/>
        <v>ICIMWorkflowStepParticipant</v>
      </c>
      <c r="C21" s="275" t="s">
        <v>445</v>
      </c>
      <c r="D21" s="275" t="s">
        <v>446</v>
      </c>
      <c r="E21" s="275" t="str">
        <f t="shared" si="3"/>
        <v>工作流步骤参与者</v>
      </c>
      <c r="F21" s="55" t="b">
        <v>1</v>
      </c>
      <c r="G21" s="302" t="s">
        <v>415</v>
      </c>
      <c r="H21" s="302" t="s">
        <v>416</v>
      </c>
      <c r="I21" s="275">
        <v>5170</v>
      </c>
      <c r="J21" s="278" t="s">
        <v>417</v>
      </c>
      <c r="K21" s="55" t="s">
        <v>418</v>
      </c>
      <c r="L21" s="55"/>
    </row>
    <row r="22" spans="1:12" ht="15">
      <c r="A22" s="55"/>
      <c r="B22" s="275" t="str">
        <f t="shared" si="2"/>
        <v>ICIMWorkflowMethod</v>
      </c>
      <c r="C22" s="275" t="s">
        <v>447</v>
      </c>
      <c r="D22" s="275" t="s">
        <v>448</v>
      </c>
      <c r="E22" s="275" t="str">
        <f t="shared" si="3"/>
        <v>工作流步骤方法</v>
      </c>
      <c r="F22" s="275" t="b">
        <v>1</v>
      </c>
      <c r="G22" s="301" t="s">
        <v>415</v>
      </c>
      <c r="H22" s="301" t="s">
        <v>416</v>
      </c>
      <c r="I22" s="275">
        <v>5180</v>
      </c>
      <c r="J22" s="278" t="s">
        <v>417</v>
      </c>
      <c r="K22" s="275" t="s">
        <v>418</v>
      </c>
      <c r="L22" s="55"/>
    </row>
    <row r="23" spans="1:12" ht="15">
      <c r="A23" s="55"/>
      <c r="B23" s="275" t="str">
        <f t="shared" si="2"/>
        <v>ICIMWorkflowInbox</v>
      </c>
      <c r="C23" s="275" t="s">
        <v>449</v>
      </c>
      <c r="D23" s="275" t="s">
        <v>450</v>
      </c>
      <c r="E23" s="275" t="str">
        <f t="shared" si="3"/>
        <v>工作流收件箱</v>
      </c>
      <c r="F23" s="275" t="b">
        <v>1</v>
      </c>
      <c r="G23" s="301" t="s">
        <v>415</v>
      </c>
      <c r="H23" s="301" t="s">
        <v>416</v>
      </c>
      <c r="I23" s="275">
        <v>5190</v>
      </c>
      <c r="J23" s="278" t="s">
        <v>417</v>
      </c>
      <c r="K23" s="275" t="s">
        <v>418</v>
      </c>
      <c r="L23" s="55"/>
    </row>
    <row r="24" spans="1:12" ht="15">
      <c r="A24" s="55"/>
      <c r="B24" s="275" t="str">
        <f t="shared" si="2"/>
        <v>ICIMWorkflowInboxMessage</v>
      </c>
      <c r="C24" s="276" t="s">
        <v>451</v>
      </c>
      <c r="D24" s="276" t="s">
        <v>452</v>
      </c>
      <c r="E24" s="275" t="str">
        <f t="shared" si="3"/>
        <v>工作流收件箱信息</v>
      </c>
      <c r="F24" s="275" t="b">
        <v>1</v>
      </c>
      <c r="G24" s="301" t="s">
        <v>415</v>
      </c>
      <c r="H24" s="301" t="s">
        <v>416</v>
      </c>
      <c r="I24" s="275">
        <v>5200</v>
      </c>
      <c r="J24" s="278" t="s">
        <v>417</v>
      </c>
      <c r="K24" s="275" t="s">
        <v>418</v>
      </c>
      <c r="L24" s="55"/>
    </row>
    <row r="25" spans="1:12" ht="15">
      <c r="A25" s="55"/>
      <c r="B25" s="275" t="str">
        <f t="shared" si="2"/>
        <v>ICIMWorkflowStepLegend</v>
      </c>
      <c r="C25" s="276" t="s">
        <v>393</v>
      </c>
      <c r="D25" s="276" t="s">
        <v>453</v>
      </c>
      <c r="E25" s="275" t="str">
        <f t="shared" si="3"/>
        <v>工作流步骤图例</v>
      </c>
      <c r="F25" s="275" t="b">
        <v>1</v>
      </c>
      <c r="G25" s="301" t="s">
        <v>415</v>
      </c>
      <c r="H25" s="301" t="s">
        <v>416</v>
      </c>
      <c r="I25" s="275">
        <v>5210</v>
      </c>
      <c r="J25" s="278" t="s">
        <v>417</v>
      </c>
      <c r="K25" s="275" t="s">
        <v>418</v>
      </c>
      <c r="L25" s="55"/>
    </row>
    <row r="26" spans="1:12" ht="15">
      <c r="A26" s="55"/>
      <c r="B26" s="275" t="str">
        <f t="shared" si="2"/>
        <v>ICIMWorkflowCategory</v>
      </c>
      <c r="C26" s="276" t="s">
        <v>454</v>
      </c>
      <c r="D26" s="276" t="s">
        <v>455</v>
      </c>
      <c r="E26" s="275" t="str">
        <f t="shared" si="3"/>
        <v>工作流分类</v>
      </c>
      <c r="F26" s="275" t="b">
        <v>1</v>
      </c>
      <c r="G26" s="301" t="s">
        <v>415</v>
      </c>
      <c r="H26" s="301" t="s">
        <v>416</v>
      </c>
      <c r="I26" s="275">
        <v>5220</v>
      </c>
      <c r="J26" s="278" t="s">
        <v>417</v>
      </c>
      <c r="K26" s="275" t="s">
        <v>418</v>
      </c>
      <c r="L26" s="55"/>
    </row>
    <row r="27" spans="1:12" ht="15">
      <c r="A27" s="55"/>
      <c r="B27" s="275" t="str">
        <f t="shared" si="2"/>
        <v>ICIMWorkflowStepContinuesStepRel</v>
      </c>
      <c r="C27" s="276" t="s">
        <v>456</v>
      </c>
      <c r="D27" s="276" t="s">
        <v>457</v>
      </c>
      <c r="E27" s="275" t="str">
        <f t="shared" si="3"/>
        <v>工作流步骤的关系</v>
      </c>
      <c r="F27" s="275" t="b">
        <v>1</v>
      </c>
      <c r="G27" s="301" t="s">
        <v>415</v>
      </c>
      <c r="H27" s="301" t="s">
        <v>416</v>
      </c>
      <c r="I27" s="275">
        <v>5230</v>
      </c>
      <c r="J27" s="278" t="s">
        <v>417</v>
      </c>
      <c r="K27" s="275" t="s">
        <v>418</v>
      </c>
      <c r="L27" s="55"/>
    </row>
    <row r="28" spans="1:12" ht="15">
      <c r="A28" s="55"/>
      <c r="B28" s="275" t="str">
        <f t="shared" si="2"/>
        <v>ICIMWorkflowStepGroupRecipient</v>
      </c>
      <c r="C28" s="276" t="s">
        <v>458</v>
      </c>
      <c r="D28" s="276" t="s">
        <v>459</v>
      </c>
      <c r="E28" s="275" t="str">
        <f t="shared" si="3"/>
        <v>组心态流程参与者</v>
      </c>
      <c r="F28" s="275" t="b">
        <v>1</v>
      </c>
      <c r="G28" s="301" t="s">
        <v>415</v>
      </c>
      <c r="H28" s="301" t="s">
        <v>416</v>
      </c>
      <c r="I28" s="275">
        <v>5240</v>
      </c>
      <c r="J28" s="278" t="s">
        <v>417</v>
      </c>
      <c r="K28" s="275" t="s">
        <v>418</v>
      </c>
      <c r="L28" s="55"/>
    </row>
    <row r="29" spans="1:12" ht="15">
      <c r="A29" s="55"/>
      <c r="B29" s="275" t="str">
        <f t="shared" si="2"/>
        <v>ICIMWorkflowStepRecipient</v>
      </c>
      <c r="C29" s="276" t="s">
        <v>460</v>
      </c>
      <c r="D29" s="276" t="s">
        <v>461</v>
      </c>
      <c r="E29" s="275" t="str">
        <f t="shared" si="3"/>
        <v>步骤参与人代理</v>
      </c>
      <c r="F29" s="275" t="b">
        <v>1</v>
      </c>
      <c r="G29" s="301" t="s">
        <v>415</v>
      </c>
      <c r="H29" s="301" t="s">
        <v>416</v>
      </c>
      <c r="I29" s="275">
        <v>5500</v>
      </c>
      <c r="J29" s="278" t="s">
        <v>417</v>
      </c>
      <c r="K29" s="275" t="s">
        <v>418</v>
      </c>
      <c r="L29" s="55"/>
    </row>
    <row r="30" spans="1:12" ht="14.25">
      <c r="A30" s="55"/>
      <c r="B30" s="275"/>
      <c r="C30" s="55"/>
      <c r="D30" s="55"/>
      <c r="E30" s="55"/>
      <c r="F30" s="55"/>
      <c r="G30" s="55"/>
      <c r="H30" s="55"/>
      <c r="I30" s="55"/>
      <c r="J30" s="55"/>
      <c r="K30" s="55"/>
      <c r="L30" s="55"/>
    </row>
    <row r="31" spans="1:12" ht="14.25">
      <c r="A31" s="54" t="s">
        <v>24</v>
      </c>
      <c r="B31" s="54" t="s">
        <v>43</v>
      </c>
      <c r="C31" s="58" t="s">
        <v>81</v>
      </c>
      <c r="D31" s="58" t="s">
        <v>76</v>
      </c>
      <c r="E31" s="58" t="s">
        <v>79</v>
      </c>
      <c r="F31" s="58" t="s">
        <v>83</v>
      </c>
      <c r="G31" s="58" t="s">
        <v>82</v>
      </c>
      <c r="H31" s="58" t="s">
        <v>78</v>
      </c>
      <c r="I31" s="58" t="s">
        <v>80</v>
      </c>
      <c r="J31" s="58" t="s">
        <v>84</v>
      </c>
      <c r="K31" s="58" t="s">
        <v>85</v>
      </c>
      <c r="L31" s="54" t="s">
        <v>48</v>
      </c>
    </row>
    <row r="32" spans="1:12" ht="14.25">
      <c r="A32" s="55"/>
      <c r="B32" s="275" t="str">
        <f t="shared" ref="B32:B57" si="4">F32&amp;"."&amp;C32&amp;"."&amp;G32</f>
        <v>Implies.ICIMWorkflowFlowPart.ICIMWorkflow</v>
      </c>
      <c r="C32" s="275" t="s">
        <v>413</v>
      </c>
      <c r="D32" s="275" t="s">
        <v>413</v>
      </c>
      <c r="E32" s="275" t="s">
        <v>21</v>
      </c>
      <c r="F32" s="275" t="s">
        <v>23</v>
      </c>
      <c r="G32" s="275" t="s">
        <v>390</v>
      </c>
      <c r="H32" s="275" t="str">
        <f t="shared" ref="H32:H50" si="5">G32</f>
        <v>ICIMWorkflow</v>
      </c>
      <c r="I32" s="275" t="s">
        <v>21</v>
      </c>
      <c r="J32" s="275">
        <v>10</v>
      </c>
      <c r="K32" s="275" t="b">
        <v>1</v>
      </c>
      <c r="L32" s="275" t="s">
        <v>418</v>
      </c>
    </row>
    <row r="33" spans="1:12" ht="14.25">
      <c r="A33" s="55"/>
      <c r="B33" s="275" t="str">
        <f t="shared" si="4"/>
        <v>Implies.ICIMWorkflow.ICIMWorkflowObject</v>
      </c>
      <c r="C33" s="275" t="s">
        <v>390</v>
      </c>
      <c r="D33" s="275" t="str">
        <f t="shared" ref="D33:D50" si="6">C33</f>
        <v>ICIMWorkflow</v>
      </c>
      <c r="E33" s="275" t="s">
        <v>21</v>
      </c>
      <c r="F33" s="275" t="s">
        <v>23</v>
      </c>
      <c r="G33" s="275" t="s">
        <v>421</v>
      </c>
      <c r="H33" s="275" t="str">
        <f t="shared" si="5"/>
        <v>ICIMWorkflowObject</v>
      </c>
      <c r="I33" s="275" t="s">
        <v>21</v>
      </c>
      <c r="J33" s="275">
        <v>20</v>
      </c>
      <c r="K33" s="275" t="b">
        <v>1</v>
      </c>
      <c r="L33" s="275" t="s">
        <v>418</v>
      </c>
    </row>
    <row r="34" spans="1:12" ht="14.25">
      <c r="A34" s="55"/>
      <c r="B34" s="275" t="str">
        <f t="shared" si="4"/>
        <v>Implies.ICIMWorkflow.ICIMWorkflowTemplate</v>
      </c>
      <c r="C34" s="275" t="s">
        <v>390</v>
      </c>
      <c r="D34" s="275" t="str">
        <f t="shared" si="6"/>
        <v>ICIMWorkflow</v>
      </c>
      <c r="E34" s="275" t="s">
        <v>21</v>
      </c>
      <c r="F34" s="275" t="s">
        <v>23</v>
      </c>
      <c r="G34" s="275" t="s">
        <v>372</v>
      </c>
      <c r="H34" s="275" t="str">
        <f t="shared" si="5"/>
        <v>ICIMWorkflowTemplate</v>
      </c>
      <c r="I34" s="275" t="s">
        <v>21</v>
      </c>
      <c r="J34" s="275">
        <v>30</v>
      </c>
      <c r="K34" s="275" t="b">
        <v>1</v>
      </c>
      <c r="L34" s="275" t="s">
        <v>418</v>
      </c>
    </row>
    <row r="35" spans="1:12" ht="14.25">
      <c r="A35" s="55"/>
      <c r="B35" s="275" t="str">
        <f t="shared" si="4"/>
        <v>Implies.IObject.ICIMWorkflowItem</v>
      </c>
      <c r="C35" s="275" t="s">
        <v>45</v>
      </c>
      <c r="D35" s="275" t="str">
        <f t="shared" si="6"/>
        <v>IObject</v>
      </c>
      <c r="E35" s="275" t="s">
        <v>21</v>
      </c>
      <c r="F35" s="275" t="s">
        <v>23</v>
      </c>
      <c r="G35" s="275" t="s">
        <v>427</v>
      </c>
      <c r="H35" s="275" t="str">
        <f t="shared" si="5"/>
        <v>ICIMWorkflowItem</v>
      </c>
      <c r="I35" s="275" t="s">
        <v>21</v>
      </c>
      <c r="J35" s="275">
        <v>40</v>
      </c>
      <c r="K35" s="275" t="b">
        <v>1</v>
      </c>
      <c r="L35" s="275" t="s">
        <v>418</v>
      </c>
    </row>
    <row r="36" spans="1:12" ht="14.25">
      <c r="A36" s="55"/>
      <c r="B36" s="275" t="str">
        <f t="shared" si="4"/>
        <v>Implies.ICIMCondition.ICIMWorkflowCondition</v>
      </c>
      <c r="C36" s="275" t="s">
        <v>365</v>
      </c>
      <c r="D36" s="275" t="str">
        <f t="shared" si="6"/>
        <v>ICIMCondition</v>
      </c>
      <c r="E36" s="275" t="s">
        <v>21</v>
      </c>
      <c r="F36" s="275" t="s">
        <v>23</v>
      </c>
      <c r="G36" s="275" t="s">
        <v>423</v>
      </c>
      <c r="H36" s="275" t="str">
        <f t="shared" si="5"/>
        <v>ICIMWorkflowCondition</v>
      </c>
      <c r="I36" s="275" t="s">
        <v>21</v>
      </c>
      <c r="J36" s="275">
        <v>50</v>
      </c>
      <c r="K36" s="275" t="b">
        <v>1</v>
      </c>
      <c r="L36" s="275" t="s">
        <v>418</v>
      </c>
    </row>
    <row r="37" spans="1:12" ht="14.25">
      <c r="A37" s="277"/>
      <c r="B37" s="275" t="str">
        <f t="shared" si="4"/>
        <v>Implies.ICIMWorkflowFlowPart.ICIMWorkflowStep</v>
      </c>
      <c r="C37" s="275" t="s">
        <v>413</v>
      </c>
      <c r="D37" s="275" t="s">
        <v>413</v>
      </c>
      <c r="E37" s="275" t="s">
        <v>21</v>
      </c>
      <c r="F37" s="275" t="s">
        <v>23</v>
      </c>
      <c r="G37" s="275" t="s">
        <v>296</v>
      </c>
      <c r="H37" s="275" t="str">
        <f t="shared" si="5"/>
        <v>ICIMWorkflowStep</v>
      </c>
      <c r="I37" s="275" t="s">
        <v>21</v>
      </c>
      <c r="J37" s="275">
        <v>80</v>
      </c>
      <c r="K37" s="275" t="b">
        <v>1</v>
      </c>
      <c r="L37" s="275" t="s">
        <v>418</v>
      </c>
    </row>
    <row r="38" spans="1:12" ht="14.25">
      <c r="A38" s="277"/>
      <c r="B38" s="275" t="str">
        <f t="shared" si="4"/>
        <v>Implies.ICIMWorkflowStep.ICIMWorkflowStepObject</v>
      </c>
      <c r="C38" s="275" t="s">
        <v>296</v>
      </c>
      <c r="D38" s="275" t="str">
        <f t="shared" si="6"/>
        <v>ICIMWorkflowStep</v>
      </c>
      <c r="E38" s="275" t="s">
        <v>21</v>
      </c>
      <c r="F38" s="275" t="s">
        <v>23</v>
      </c>
      <c r="G38" s="275" t="s">
        <v>431</v>
      </c>
      <c r="H38" s="275" t="str">
        <f t="shared" si="5"/>
        <v>ICIMWorkflowStepObject</v>
      </c>
      <c r="I38" s="275" t="s">
        <v>21</v>
      </c>
      <c r="J38" s="275">
        <v>90</v>
      </c>
      <c r="K38" s="275" t="b">
        <v>1</v>
      </c>
      <c r="L38" s="275" t="s">
        <v>418</v>
      </c>
    </row>
    <row r="39" spans="1:12" ht="14.25">
      <c r="A39" s="55"/>
      <c r="B39" s="275" t="str">
        <f t="shared" si="4"/>
        <v>Implies.ICIMWorkflowStep.ICIMWorkflowStepTemplate</v>
      </c>
      <c r="C39" s="275" t="s">
        <v>296</v>
      </c>
      <c r="D39" s="275" t="str">
        <f t="shared" si="6"/>
        <v>ICIMWorkflowStep</v>
      </c>
      <c r="E39" s="275" t="s">
        <v>21</v>
      </c>
      <c r="F39" s="275" t="s">
        <v>23</v>
      </c>
      <c r="G39" s="275" t="s">
        <v>404</v>
      </c>
      <c r="H39" s="275" t="str">
        <f t="shared" si="5"/>
        <v>ICIMWorkflowStepTemplate</v>
      </c>
      <c r="I39" s="275" t="s">
        <v>21</v>
      </c>
      <c r="J39" s="275">
        <v>100</v>
      </c>
      <c r="K39" s="275" t="b">
        <v>1</v>
      </c>
      <c r="L39" s="275" t="s">
        <v>418</v>
      </c>
    </row>
    <row r="40" spans="1:12" ht="14.25">
      <c r="A40" s="277"/>
      <c r="B40" s="275" t="str">
        <f t="shared" si="4"/>
        <v>Implies.IObject.ICIMWorkflowStepClass</v>
      </c>
      <c r="C40" s="275" t="s">
        <v>45</v>
      </c>
      <c r="D40" s="275" t="str">
        <f t="shared" si="6"/>
        <v>IObject</v>
      </c>
      <c r="E40" s="275" t="s">
        <v>21</v>
      </c>
      <c r="F40" s="275" t="s">
        <v>23</v>
      </c>
      <c r="G40" s="275" t="s">
        <v>411</v>
      </c>
      <c r="H40" s="275" t="str">
        <f t="shared" si="5"/>
        <v>ICIMWorkflowStepClass</v>
      </c>
      <c r="I40" s="275" t="s">
        <v>21</v>
      </c>
      <c r="J40" s="275">
        <v>110</v>
      </c>
      <c r="K40" s="275" t="b">
        <v>1</v>
      </c>
      <c r="L40" s="275" t="s">
        <v>418</v>
      </c>
    </row>
    <row r="41" spans="1:12" ht="14.25">
      <c r="A41" s="277"/>
      <c r="B41" s="275" t="str">
        <f t="shared" si="4"/>
        <v>Implies.IObject.ICIMWorkflowStepDefinition</v>
      </c>
      <c r="C41" s="275" t="s">
        <v>45</v>
      </c>
      <c r="D41" s="275" t="str">
        <f t="shared" si="6"/>
        <v>IObject</v>
      </c>
      <c r="E41" s="275" t="s">
        <v>21</v>
      </c>
      <c r="F41" s="275" t="s">
        <v>23</v>
      </c>
      <c r="G41" s="275" t="s">
        <v>368</v>
      </c>
      <c r="H41" s="275" t="str">
        <f t="shared" si="5"/>
        <v>ICIMWorkflowStepDefinition</v>
      </c>
      <c r="I41" s="275" t="s">
        <v>21</v>
      </c>
      <c r="J41" s="275">
        <v>120</v>
      </c>
      <c r="K41" s="275" t="b">
        <v>1</v>
      </c>
      <c r="L41" s="275" t="s">
        <v>418</v>
      </c>
    </row>
    <row r="42" spans="1:12" ht="14.25">
      <c r="A42" s="277"/>
      <c r="B42" s="275" t="str">
        <f t="shared" si="4"/>
        <v>Implies.IObject.ICIMWorkflowStepStatus</v>
      </c>
      <c r="C42" s="275" t="s">
        <v>45</v>
      </c>
      <c r="D42" s="275" t="str">
        <f t="shared" si="6"/>
        <v>IObject</v>
      </c>
      <c r="E42" s="275" t="s">
        <v>21</v>
      </c>
      <c r="F42" s="275" t="s">
        <v>23</v>
      </c>
      <c r="G42" s="275" t="s">
        <v>435</v>
      </c>
      <c r="H42" s="275" t="str">
        <f t="shared" si="5"/>
        <v>ICIMWorkflowStepStatus</v>
      </c>
      <c r="I42" s="275" t="s">
        <v>21</v>
      </c>
      <c r="J42" s="275">
        <v>130</v>
      </c>
      <c r="K42" s="275" t="b">
        <v>1</v>
      </c>
      <c r="L42" s="275" t="s">
        <v>418</v>
      </c>
    </row>
    <row r="43" spans="1:12" ht="14.25">
      <c r="A43" s="277"/>
      <c r="B43" s="275" t="str">
        <f t="shared" si="4"/>
        <v>Implies.IObject.ICIMWorkflowNotificationType</v>
      </c>
      <c r="C43" s="275" t="s">
        <v>45</v>
      </c>
      <c r="D43" s="275" t="str">
        <f t="shared" si="6"/>
        <v>IObject</v>
      </c>
      <c r="E43" s="275" t="s">
        <v>21</v>
      </c>
      <c r="F43" s="275" t="s">
        <v>23</v>
      </c>
      <c r="G43" s="275" t="s">
        <v>425</v>
      </c>
      <c r="H43" s="275" t="str">
        <f t="shared" si="5"/>
        <v>ICIMWorkflowNotificationType</v>
      </c>
      <c r="I43" s="275" t="s">
        <v>21</v>
      </c>
      <c r="J43" s="275">
        <v>140</v>
      </c>
      <c r="K43" s="275" t="b">
        <v>1</v>
      </c>
      <c r="L43" s="275" t="s">
        <v>418</v>
      </c>
    </row>
    <row r="44" spans="1:12" ht="14.25">
      <c r="A44" s="277"/>
      <c r="B44" s="275" t="str">
        <f t="shared" si="4"/>
        <v>Implies.IObject.ICIMWorkflowStepCheckList</v>
      </c>
      <c r="C44" s="275" t="s">
        <v>45</v>
      </c>
      <c r="D44" s="275" t="str">
        <f t="shared" si="6"/>
        <v>IObject</v>
      </c>
      <c r="E44" s="275" t="s">
        <v>21</v>
      </c>
      <c r="F44" s="275" t="s">
        <v>23</v>
      </c>
      <c r="G44" s="275" t="s">
        <v>437</v>
      </c>
      <c r="H44" s="275" t="str">
        <f t="shared" si="5"/>
        <v>ICIMWorkflowStepCheckList</v>
      </c>
      <c r="I44" s="275" t="s">
        <v>21</v>
      </c>
      <c r="J44" s="275">
        <v>150</v>
      </c>
      <c r="K44" s="275" t="b">
        <v>1</v>
      </c>
      <c r="L44" s="275" t="s">
        <v>418</v>
      </c>
    </row>
    <row r="45" spans="1:12" ht="14.25">
      <c r="A45" s="277"/>
      <c r="B45" s="275" t="str">
        <f t="shared" si="4"/>
        <v>Implies.ICIMWorkflowStepCheckList.ICIMWorkflowStepCheckListTemplate</v>
      </c>
      <c r="C45" s="275" t="s">
        <v>437</v>
      </c>
      <c r="D45" s="275" t="str">
        <f t="shared" si="6"/>
        <v>ICIMWorkflowStepCheckList</v>
      </c>
      <c r="E45" s="275" t="s">
        <v>21</v>
      </c>
      <c r="F45" s="275" t="s">
        <v>23</v>
      </c>
      <c r="G45" s="277" t="s">
        <v>441</v>
      </c>
      <c r="H45" s="275" t="str">
        <f t="shared" si="5"/>
        <v>ICIMWorkflowStepCheckListTemplate</v>
      </c>
      <c r="I45" s="275" t="s">
        <v>21</v>
      </c>
      <c r="J45" s="275">
        <v>160</v>
      </c>
      <c r="K45" s="275" t="b">
        <v>1</v>
      </c>
      <c r="L45" s="275" t="s">
        <v>418</v>
      </c>
    </row>
    <row r="46" spans="1:12" ht="14.25">
      <c r="A46" s="277"/>
      <c r="B46" s="275" t="str">
        <f t="shared" si="4"/>
        <v>Implies.ICIMWorkflowStepCheckList.ICIMWorkflowStepCheckListObject</v>
      </c>
      <c r="C46" s="275" t="s">
        <v>437</v>
      </c>
      <c r="D46" s="275" t="str">
        <f t="shared" si="6"/>
        <v>ICIMWorkflowStepCheckList</v>
      </c>
      <c r="E46" s="275" t="s">
        <v>21</v>
      </c>
      <c r="F46" s="275" t="s">
        <v>23</v>
      </c>
      <c r="G46" s="275" t="s">
        <v>439</v>
      </c>
      <c r="H46" s="275" t="str">
        <f t="shared" si="5"/>
        <v>ICIMWorkflowStepCheckListObject</v>
      </c>
      <c r="I46" s="275" t="s">
        <v>21</v>
      </c>
      <c r="J46" s="275">
        <v>170</v>
      </c>
      <c r="K46" s="275" t="b">
        <v>1</v>
      </c>
      <c r="L46" s="275" t="s">
        <v>418</v>
      </c>
    </row>
    <row r="47" spans="1:12" ht="14.25">
      <c r="A47" s="277"/>
      <c r="B47" s="275" t="str">
        <f t="shared" si="4"/>
        <v>Implies.IObject.ICIMWorkflowStepCheckListItem</v>
      </c>
      <c r="C47" s="275" t="s">
        <v>45</v>
      </c>
      <c r="D47" s="275" t="str">
        <f t="shared" si="6"/>
        <v>IObject</v>
      </c>
      <c r="E47" s="275" t="s">
        <v>21</v>
      </c>
      <c r="F47" s="275" t="s">
        <v>23</v>
      </c>
      <c r="G47" s="275" t="s">
        <v>443</v>
      </c>
      <c r="H47" s="275" t="str">
        <f t="shared" si="5"/>
        <v>ICIMWorkflowStepCheckListItem</v>
      </c>
      <c r="I47" s="275" t="s">
        <v>21</v>
      </c>
      <c r="J47" s="275">
        <v>180</v>
      </c>
      <c r="K47" s="275" t="b">
        <v>1</v>
      </c>
      <c r="L47" s="275" t="s">
        <v>418</v>
      </c>
    </row>
    <row r="48" spans="1:12" ht="14.25">
      <c r="A48" s="277"/>
      <c r="B48" s="275" t="str">
        <f t="shared" si="4"/>
        <v>Implies.ICIMParticipant.ICIMWorkflowStepParticipant</v>
      </c>
      <c r="C48" s="276" t="s">
        <v>462</v>
      </c>
      <c r="D48" s="275" t="s">
        <v>462</v>
      </c>
      <c r="E48" s="275" t="s">
        <v>21</v>
      </c>
      <c r="F48" s="275" t="s">
        <v>23</v>
      </c>
      <c r="G48" s="275" t="s">
        <v>445</v>
      </c>
      <c r="H48" s="275" t="s">
        <v>445</v>
      </c>
      <c r="I48" s="275" t="s">
        <v>21</v>
      </c>
      <c r="J48" s="275">
        <v>190</v>
      </c>
      <c r="K48" s="275" t="b">
        <v>1</v>
      </c>
      <c r="L48" s="275" t="s">
        <v>418</v>
      </c>
    </row>
    <row r="49" spans="1:12" ht="14.25">
      <c r="A49" s="277"/>
      <c r="B49" s="275" t="str">
        <f t="shared" si="4"/>
        <v>Implies.ICIMMethod.ICIMWorkflowMethod</v>
      </c>
      <c r="C49" s="275" t="s">
        <v>375</v>
      </c>
      <c r="D49" s="275" t="str">
        <f t="shared" si="6"/>
        <v>ICIMMethod</v>
      </c>
      <c r="E49" s="275" t="s">
        <v>21</v>
      </c>
      <c r="F49" s="275" t="s">
        <v>23</v>
      </c>
      <c r="G49" s="275" t="s">
        <v>447</v>
      </c>
      <c r="H49" s="275" t="str">
        <f t="shared" si="5"/>
        <v>ICIMWorkflowMethod</v>
      </c>
      <c r="I49" s="275" t="s">
        <v>21</v>
      </c>
      <c r="J49" s="275">
        <v>200</v>
      </c>
      <c r="K49" s="275" t="b">
        <v>1</v>
      </c>
      <c r="L49" s="275" t="s">
        <v>418</v>
      </c>
    </row>
    <row r="50" spans="1:12" ht="14.25">
      <c r="A50" s="277"/>
      <c r="B50" s="275" t="str">
        <f t="shared" si="4"/>
        <v>Implies.ICIMInbox.ICIMWorkflowInbox</v>
      </c>
      <c r="C50" s="275" t="s">
        <v>463</v>
      </c>
      <c r="D50" s="275" t="str">
        <f t="shared" si="6"/>
        <v>ICIMInbox</v>
      </c>
      <c r="E50" s="275" t="s">
        <v>21</v>
      </c>
      <c r="F50" s="275" t="s">
        <v>23</v>
      </c>
      <c r="G50" s="275" t="s">
        <v>449</v>
      </c>
      <c r="H50" s="275" t="str">
        <f t="shared" si="5"/>
        <v>ICIMWorkflowInbox</v>
      </c>
      <c r="I50" s="275" t="s">
        <v>21</v>
      </c>
      <c r="J50" s="275">
        <v>210</v>
      </c>
      <c r="K50" s="275" t="b">
        <v>1</v>
      </c>
      <c r="L50" s="275" t="s">
        <v>418</v>
      </c>
    </row>
    <row r="51" spans="1:12" ht="14.25">
      <c r="A51" s="63"/>
      <c r="B51" s="275" t="str">
        <f t="shared" si="4"/>
        <v>Implies.ICIMInboxMessage.ICIMWorkflowInboxMessage</v>
      </c>
      <c r="C51" s="62" t="s">
        <v>464</v>
      </c>
      <c r="D51" s="62" t="s">
        <v>464</v>
      </c>
      <c r="E51" s="275" t="s">
        <v>21</v>
      </c>
      <c r="F51" s="275" t="s">
        <v>23</v>
      </c>
      <c r="G51" s="62" t="s">
        <v>451</v>
      </c>
      <c r="H51" s="62" t="s">
        <v>451</v>
      </c>
      <c r="I51" s="275" t="s">
        <v>21</v>
      </c>
      <c r="J51" s="275">
        <v>220</v>
      </c>
      <c r="K51" s="275" t="b">
        <v>1</v>
      </c>
      <c r="L51" s="275" t="s">
        <v>418</v>
      </c>
    </row>
    <row r="52" spans="1:12" ht="14.25">
      <c r="B52" s="275" t="str">
        <f t="shared" si="4"/>
        <v>Implies.IObject.ICIMWorkflowStepLegend</v>
      </c>
      <c r="C52" s="275" t="s">
        <v>45</v>
      </c>
      <c r="D52" s="275" t="str">
        <f t="shared" ref="D52:D54" si="7">C52</f>
        <v>IObject</v>
      </c>
      <c r="E52" s="275" t="s">
        <v>21</v>
      </c>
      <c r="F52" s="275" t="s">
        <v>23</v>
      </c>
      <c r="G52" s="276" t="s">
        <v>393</v>
      </c>
      <c r="H52" s="276" t="s">
        <v>393</v>
      </c>
      <c r="I52" s="275" t="s">
        <v>21</v>
      </c>
      <c r="J52" s="275">
        <v>230</v>
      </c>
      <c r="K52" s="275" t="b">
        <v>1</v>
      </c>
      <c r="L52" s="275" t="s">
        <v>418</v>
      </c>
    </row>
    <row r="53" spans="1:12" ht="14.25">
      <c r="B53" s="275" t="str">
        <f t="shared" si="4"/>
        <v>Implies.IObject.ICIMWorkflowCategory</v>
      </c>
      <c r="C53" s="275" t="s">
        <v>45</v>
      </c>
      <c r="D53" s="275" t="str">
        <f t="shared" si="7"/>
        <v>IObject</v>
      </c>
      <c r="E53" s="275" t="s">
        <v>21</v>
      </c>
      <c r="F53" s="275" t="s">
        <v>23</v>
      </c>
      <c r="G53" s="276" t="s">
        <v>454</v>
      </c>
      <c r="H53" s="276" t="s">
        <v>454</v>
      </c>
      <c r="I53" s="275" t="s">
        <v>21</v>
      </c>
      <c r="J53" s="275">
        <v>240</v>
      </c>
      <c r="K53" s="275" t="b">
        <v>1</v>
      </c>
      <c r="L53" s="275" t="s">
        <v>418</v>
      </c>
    </row>
    <row r="54" spans="1:12" ht="14.25">
      <c r="B54" s="275" t="str">
        <f t="shared" si="4"/>
        <v>Implies.IRel.ICIMWorkflowStepContinuesStepRel</v>
      </c>
      <c r="C54" s="275" t="s">
        <v>77</v>
      </c>
      <c r="D54" s="275" t="str">
        <f t="shared" si="7"/>
        <v>IRel</v>
      </c>
      <c r="E54" s="275" t="s">
        <v>21</v>
      </c>
      <c r="F54" s="275" t="s">
        <v>23</v>
      </c>
      <c r="G54" s="276" t="s">
        <v>456</v>
      </c>
      <c r="H54" s="276" t="s">
        <v>456</v>
      </c>
      <c r="I54" s="275" t="s">
        <v>21</v>
      </c>
      <c r="J54" s="275">
        <v>250</v>
      </c>
      <c r="K54" s="275" t="b">
        <v>1</v>
      </c>
      <c r="L54" s="275" t="s">
        <v>418</v>
      </c>
    </row>
    <row r="55" spans="1:12" ht="15">
      <c r="A55" s="55"/>
      <c r="B55" s="275" t="str">
        <f t="shared" si="4"/>
        <v>Implies.ICIMWorkflowStepRecipient.ICIMWorkflowStepGroupRecipient</v>
      </c>
      <c r="C55" s="276" t="s">
        <v>460</v>
      </c>
      <c r="D55" s="276" t="s">
        <v>460</v>
      </c>
      <c r="E55" s="275" t="s">
        <v>21</v>
      </c>
      <c r="F55" s="275" t="s">
        <v>23</v>
      </c>
      <c r="G55" s="276" t="s">
        <v>458</v>
      </c>
      <c r="H55" s="276" t="s">
        <v>458</v>
      </c>
      <c r="I55" s="275" t="s">
        <v>21</v>
      </c>
      <c r="J55" s="278">
        <v>260</v>
      </c>
      <c r="K55" s="275" t="b">
        <v>1</v>
      </c>
      <c r="L55" s="55" t="s">
        <v>418</v>
      </c>
    </row>
    <row r="56" spans="1:12" ht="15">
      <c r="A56" s="55"/>
      <c r="B56" s="275" t="str">
        <f t="shared" si="4"/>
        <v>Implies.IObject.ICIMWorkflowFlowPart</v>
      </c>
      <c r="C56" s="275" t="s">
        <v>45</v>
      </c>
      <c r="D56" s="275" t="str">
        <f>C56</f>
        <v>IObject</v>
      </c>
      <c r="E56" s="275" t="s">
        <v>21</v>
      </c>
      <c r="F56" s="275" t="s">
        <v>23</v>
      </c>
      <c r="G56" s="276" t="s">
        <v>413</v>
      </c>
      <c r="H56" s="276" t="s">
        <v>413</v>
      </c>
      <c r="I56" s="275" t="s">
        <v>21</v>
      </c>
      <c r="J56" s="278">
        <v>270</v>
      </c>
      <c r="K56" s="275" t="b">
        <v>1</v>
      </c>
      <c r="L56" s="55" t="s">
        <v>418</v>
      </c>
    </row>
    <row r="57" spans="1:12" ht="14.25">
      <c r="B57" s="275" t="str">
        <f t="shared" si="4"/>
        <v>Implies.ICIMRecipient.ICIMWorkflowStepRecipient</v>
      </c>
      <c r="C57" s="275" t="s">
        <v>465</v>
      </c>
      <c r="D57" s="275" t="s">
        <v>465</v>
      </c>
      <c r="E57" s="275" t="s">
        <v>21</v>
      </c>
      <c r="F57" s="275" t="s">
        <v>23</v>
      </c>
      <c r="G57" s="276" t="s">
        <v>460</v>
      </c>
      <c r="H57" s="276" t="s">
        <v>460</v>
      </c>
      <c r="I57" s="275" t="s">
        <v>21</v>
      </c>
      <c r="J57" s="275">
        <v>280</v>
      </c>
      <c r="K57" s="275" t="b">
        <v>1</v>
      </c>
      <c r="L57" s="275" t="s">
        <v>418</v>
      </c>
    </row>
  </sheetData>
  <sheetProtection formatCells="0" insertHyperlinks="0" autoFilter="0"/>
  <mergeCells count="1">
    <mergeCell ref="A1:I1"/>
  </mergeCells>
  <conditionalFormatting sqref="B31">
    <cfRule type="duplicateValues" dxfId="33" priority="1"/>
  </conditionalFormatting>
  <conditionalFormatting sqref="B2:B3">
    <cfRule type="duplicateValues" dxfId="32" priority="2"/>
  </conditionalFormatting>
  <pageMargins left="0.75" right="0.75" top="1" bottom="1" header="0.5" footer="0.5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55"/>
  <sheetViews>
    <sheetView topLeftCell="I3" zoomScale="120" zoomScaleNormal="120" workbookViewId="0">
      <selection activeCell="I3" sqref="I3"/>
    </sheetView>
  </sheetViews>
  <sheetFormatPr defaultColWidth="9" defaultRowHeight="12"/>
  <cols>
    <col min="1" max="1" width="11.42578125" style="260" customWidth="1"/>
    <col min="2" max="2" width="42.28515625" style="260" customWidth="1"/>
    <col min="3" max="3" width="25.5703125" style="260" customWidth="1"/>
    <col min="4" max="4" width="48.7109375" style="260" customWidth="1"/>
    <col min="5" max="5" width="17.140625" style="260" customWidth="1"/>
    <col min="6" max="6" width="7.5703125" style="260" customWidth="1"/>
    <col min="7" max="7" width="40.5703125" style="260" customWidth="1"/>
    <col min="8" max="8" width="14.42578125" style="260" customWidth="1"/>
    <col min="9" max="9" width="15.42578125" style="260" customWidth="1"/>
    <col min="10" max="10" width="8.85546875" style="260" customWidth="1"/>
    <col min="11" max="11" width="9" style="260" customWidth="1"/>
    <col min="12" max="12" width="21.42578125" style="260" customWidth="1"/>
    <col min="13" max="16384" width="9" style="260"/>
  </cols>
  <sheetData>
    <row r="1" spans="1:12">
      <c r="A1" s="322" t="s">
        <v>466</v>
      </c>
      <c r="B1" s="323"/>
      <c r="C1" s="324"/>
      <c r="D1" s="324"/>
      <c r="E1" s="324"/>
      <c r="F1" s="324"/>
      <c r="G1" s="324"/>
      <c r="H1" s="324"/>
      <c r="I1" s="324"/>
      <c r="J1" s="324"/>
      <c r="K1" s="215"/>
      <c r="L1" s="215"/>
    </row>
    <row r="2" spans="1:12">
      <c r="A2" s="180"/>
      <c r="B2" s="262"/>
      <c r="C2" s="263"/>
      <c r="D2" s="180"/>
      <c r="E2" s="180"/>
      <c r="F2" s="180"/>
      <c r="G2" s="180"/>
      <c r="H2" s="180"/>
      <c r="I2" s="263"/>
      <c r="J2" s="180"/>
      <c r="K2" s="180"/>
      <c r="L2" s="180"/>
    </row>
    <row r="3" spans="1:12">
      <c r="A3" s="215" t="s">
        <v>28</v>
      </c>
      <c r="B3" s="261" t="s">
        <v>43</v>
      </c>
      <c r="C3" s="127" t="s">
        <v>46</v>
      </c>
      <c r="D3" s="127" t="s">
        <v>50</v>
      </c>
      <c r="E3" s="127" t="s">
        <v>51</v>
      </c>
      <c r="F3" s="127" t="s">
        <v>70</v>
      </c>
      <c r="G3" s="127" t="s">
        <v>71</v>
      </c>
      <c r="H3" s="127" t="s">
        <v>69</v>
      </c>
      <c r="I3" s="127" t="s">
        <v>95</v>
      </c>
      <c r="J3" s="127" t="s">
        <v>61</v>
      </c>
      <c r="K3" s="215" t="s">
        <v>48</v>
      </c>
      <c r="L3" s="180"/>
    </row>
    <row r="4" spans="1:12">
      <c r="A4" s="216"/>
      <c r="B4" s="264" t="str">
        <f>"ELT_"&amp;C4&amp;IF(L4&lt;&gt;"","_"&amp;L4,"")</f>
        <v>ELT_WorkflowStatus</v>
      </c>
      <c r="C4" s="265" t="s">
        <v>467</v>
      </c>
      <c r="D4" s="266" t="s">
        <v>468</v>
      </c>
      <c r="E4" s="266" t="str">
        <f t="shared" ref="E4:E15" si="0">D4</f>
        <v>工作流状态</v>
      </c>
      <c r="F4" s="303" t="s">
        <v>415</v>
      </c>
      <c r="G4" s="303" t="s">
        <v>416</v>
      </c>
      <c r="H4" s="216" t="s">
        <v>417</v>
      </c>
      <c r="I4" s="265" t="s">
        <v>469</v>
      </c>
      <c r="J4" s="216" t="b">
        <v>1</v>
      </c>
      <c r="K4" s="216" t="s">
        <v>418</v>
      </c>
      <c r="L4" s="216"/>
    </row>
    <row r="5" spans="1:12">
      <c r="A5" s="216"/>
      <c r="B5" s="264" t="str">
        <f t="shared" ref="B5:B31" si="1">"ELT_"&amp;C5&amp;IF(L5&lt;&gt;"","_"&amp;L5,"")</f>
        <v>ELT_Ready_WorkflowStatus</v>
      </c>
      <c r="C5" s="265" t="s">
        <v>470</v>
      </c>
      <c r="D5" s="266" t="s">
        <v>471</v>
      </c>
      <c r="E5" s="266" t="str">
        <f t="shared" si="0"/>
        <v>准备</v>
      </c>
      <c r="F5" s="303" t="s">
        <v>415</v>
      </c>
      <c r="G5" s="303" t="s">
        <v>416</v>
      </c>
      <c r="H5" s="216" t="s">
        <v>417</v>
      </c>
      <c r="I5" s="265" t="s">
        <v>472</v>
      </c>
      <c r="J5" s="216" t="b">
        <v>1</v>
      </c>
      <c r="K5" s="216" t="s">
        <v>418</v>
      </c>
      <c r="L5" s="216" t="s">
        <v>467</v>
      </c>
    </row>
    <row r="6" spans="1:12">
      <c r="A6" s="216"/>
      <c r="B6" s="264" t="str">
        <f t="shared" si="1"/>
        <v>ELT_Working_WorkflowStatus</v>
      </c>
      <c r="C6" s="265" t="s">
        <v>473</v>
      </c>
      <c r="D6" s="266" t="s">
        <v>474</v>
      </c>
      <c r="E6" s="266" t="str">
        <f t="shared" si="0"/>
        <v>流程中</v>
      </c>
      <c r="F6" s="303" t="s">
        <v>415</v>
      </c>
      <c r="G6" s="303" t="s">
        <v>416</v>
      </c>
      <c r="H6" s="216" t="s">
        <v>417</v>
      </c>
      <c r="I6" s="265" t="s">
        <v>475</v>
      </c>
      <c r="J6" s="216" t="b">
        <v>1</v>
      </c>
      <c r="K6" s="216" t="s">
        <v>418</v>
      </c>
      <c r="L6" s="216" t="s">
        <v>467</v>
      </c>
    </row>
    <row r="7" spans="1:12">
      <c r="A7" s="216"/>
      <c r="B7" s="264" t="str">
        <f t="shared" si="1"/>
        <v>ELT_Completed_WorkflowStatus</v>
      </c>
      <c r="C7" s="265" t="s">
        <v>476</v>
      </c>
      <c r="D7" s="266" t="s">
        <v>477</v>
      </c>
      <c r="E7" s="266" t="str">
        <f t="shared" si="0"/>
        <v>完成</v>
      </c>
      <c r="F7" s="303" t="s">
        <v>415</v>
      </c>
      <c r="G7" s="303" t="s">
        <v>416</v>
      </c>
      <c r="H7" s="216" t="s">
        <v>417</v>
      </c>
      <c r="I7" s="265" t="s">
        <v>478</v>
      </c>
      <c r="J7" s="216" t="b">
        <v>1</v>
      </c>
      <c r="K7" s="216" t="s">
        <v>418</v>
      </c>
      <c r="L7" s="216" t="s">
        <v>467</v>
      </c>
    </row>
    <row r="8" spans="1:12">
      <c r="A8" s="216"/>
      <c r="B8" s="264" t="str">
        <f t="shared" si="1"/>
        <v>ELT_Error_WorkflowStatus</v>
      </c>
      <c r="C8" s="265" t="s">
        <v>479</v>
      </c>
      <c r="D8" s="266" t="s">
        <v>480</v>
      </c>
      <c r="E8" s="266" t="str">
        <f t="shared" si="0"/>
        <v>错误</v>
      </c>
      <c r="F8" s="303" t="s">
        <v>415</v>
      </c>
      <c r="G8" s="303" t="s">
        <v>416</v>
      </c>
      <c r="H8" s="216" t="s">
        <v>417</v>
      </c>
      <c r="I8" s="265" t="s">
        <v>481</v>
      </c>
      <c r="J8" s="216" t="b">
        <v>1</v>
      </c>
      <c r="K8" s="216" t="s">
        <v>418</v>
      </c>
      <c r="L8" s="216" t="s">
        <v>467</v>
      </c>
    </row>
    <row r="9" spans="1:12">
      <c r="A9" s="216"/>
      <c r="B9" s="264" t="str">
        <f t="shared" si="1"/>
        <v>ELT_NotificationType</v>
      </c>
      <c r="C9" s="265" t="s">
        <v>482</v>
      </c>
      <c r="D9" s="266" t="s">
        <v>483</v>
      </c>
      <c r="E9" s="266" t="str">
        <f t="shared" si="0"/>
        <v>提醒类型</v>
      </c>
      <c r="F9" s="303" t="s">
        <v>415</v>
      </c>
      <c r="G9" s="303" t="s">
        <v>416</v>
      </c>
      <c r="H9" s="216" t="s">
        <v>417</v>
      </c>
      <c r="I9" s="265" t="s">
        <v>484</v>
      </c>
      <c r="J9" s="216" t="b">
        <v>1</v>
      </c>
      <c r="K9" s="216" t="s">
        <v>418</v>
      </c>
      <c r="L9" s="216"/>
    </row>
    <row r="10" spans="1:12">
      <c r="A10" s="216"/>
      <c r="B10" s="264" t="str">
        <f t="shared" si="1"/>
        <v>ELT_All_NotificationType</v>
      </c>
      <c r="C10" s="265" t="s">
        <v>485</v>
      </c>
      <c r="D10" s="266" t="s">
        <v>486</v>
      </c>
      <c r="E10" s="266" t="str">
        <f t="shared" si="0"/>
        <v>所有类型</v>
      </c>
      <c r="F10" s="303" t="s">
        <v>415</v>
      </c>
      <c r="G10" s="303" t="s">
        <v>416</v>
      </c>
      <c r="H10" s="216" t="s">
        <v>417</v>
      </c>
      <c r="I10" s="265" t="s">
        <v>487</v>
      </c>
      <c r="J10" s="216" t="b">
        <v>1</v>
      </c>
      <c r="K10" s="216" t="s">
        <v>418</v>
      </c>
      <c r="L10" s="265" t="s">
        <v>482</v>
      </c>
    </row>
    <row r="11" spans="1:12">
      <c r="A11" s="216"/>
      <c r="B11" s="264" t="str">
        <f t="shared" si="1"/>
        <v>ELT_E-mail_NotificationType</v>
      </c>
      <c r="C11" s="265" t="s">
        <v>488</v>
      </c>
      <c r="D11" s="266" t="s">
        <v>489</v>
      </c>
      <c r="E11" s="266" t="str">
        <f t="shared" si="0"/>
        <v>邮件</v>
      </c>
      <c r="F11" s="303" t="s">
        <v>415</v>
      </c>
      <c r="G11" s="303" t="s">
        <v>416</v>
      </c>
      <c r="H11" s="216" t="s">
        <v>417</v>
      </c>
      <c r="I11" s="265" t="s">
        <v>490</v>
      </c>
      <c r="J11" s="216" t="b">
        <v>1</v>
      </c>
      <c r="K11" s="216" t="s">
        <v>418</v>
      </c>
      <c r="L11" s="265" t="s">
        <v>482</v>
      </c>
    </row>
    <row r="12" spans="1:12">
      <c r="A12" s="216"/>
      <c r="B12" s="264" t="str">
        <f t="shared" si="1"/>
        <v>ELT_Message_NotificationType</v>
      </c>
      <c r="C12" s="265" t="s">
        <v>491</v>
      </c>
      <c r="D12" s="266" t="s">
        <v>492</v>
      </c>
      <c r="E12" s="266" t="str">
        <f t="shared" si="0"/>
        <v>短信通知</v>
      </c>
      <c r="F12" s="303" t="s">
        <v>415</v>
      </c>
      <c r="G12" s="303" t="s">
        <v>416</v>
      </c>
      <c r="H12" s="216" t="s">
        <v>417</v>
      </c>
      <c r="I12" s="265" t="s">
        <v>493</v>
      </c>
      <c r="J12" s="216" t="b">
        <v>1</v>
      </c>
      <c r="K12" s="216" t="s">
        <v>418</v>
      </c>
      <c r="L12" s="265" t="s">
        <v>482</v>
      </c>
    </row>
    <row r="13" spans="1:12">
      <c r="A13" s="216"/>
      <c r="B13" s="264" t="str">
        <f t="shared" si="1"/>
        <v>ELT_Mail_NotificationType</v>
      </c>
      <c r="C13" s="265" t="s">
        <v>494</v>
      </c>
      <c r="D13" s="266" t="s">
        <v>495</v>
      </c>
      <c r="E13" s="266" t="str">
        <f t="shared" si="0"/>
        <v>站内信</v>
      </c>
      <c r="F13" s="303" t="s">
        <v>415</v>
      </c>
      <c r="G13" s="303" t="s">
        <v>416</v>
      </c>
      <c r="H13" s="216" t="s">
        <v>417</v>
      </c>
      <c r="I13" s="265" t="s">
        <v>496</v>
      </c>
      <c r="J13" s="216" t="b">
        <v>1</v>
      </c>
      <c r="K13" s="216" t="s">
        <v>418</v>
      </c>
      <c r="L13" s="265" t="s">
        <v>482</v>
      </c>
    </row>
    <row r="14" spans="1:12">
      <c r="A14" s="216"/>
      <c r="B14" s="264" t="str">
        <f t="shared" si="1"/>
        <v>ELT_WorkflowStepStatus</v>
      </c>
      <c r="C14" s="267" t="s">
        <v>497</v>
      </c>
      <c r="D14" s="268" t="s">
        <v>498</v>
      </c>
      <c r="E14" s="266" t="str">
        <f t="shared" si="0"/>
        <v>工作流步骤状态</v>
      </c>
      <c r="F14" s="303" t="s">
        <v>415</v>
      </c>
      <c r="G14" s="303" t="s">
        <v>416</v>
      </c>
      <c r="H14" s="216" t="s">
        <v>417</v>
      </c>
      <c r="I14" s="265" t="s">
        <v>499</v>
      </c>
      <c r="J14" s="216" t="b">
        <v>1</v>
      </c>
      <c r="K14" s="216" t="s">
        <v>418</v>
      </c>
      <c r="L14" s="265"/>
    </row>
    <row r="15" spans="1:12">
      <c r="A15" s="216"/>
      <c r="B15" s="264" t="str">
        <f t="shared" si="1"/>
        <v>ELT_Init_WorkflowStepStatus</v>
      </c>
      <c r="C15" s="267" t="s">
        <v>500</v>
      </c>
      <c r="D15" s="268" t="s">
        <v>501</v>
      </c>
      <c r="E15" s="266" t="str">
        <f t="shared" si="0"/>
        <v>初始化</v>
      </c>
      <c r="F15" s="303" t="s">
        <v>415</v>
      </c>
      <c r="G15" s="303" t="s">
        <v>416</v>
      </c>
      <c r="H15" s="216" t="s">
        <v>417</v>
      </c>
      <c r="I15" s="265" t="s">
        <v>502</v>
      </c>
      <c r="J15" s="216" t="b">
        <v>1</v>
      </c>
      <c r="K15" s="216" t="s">
        <v>418</v>
      </c>
      <c r="L15" s="267" t="s">
        <v>497</v>
      </c>
    </row>
    <row r="16" spans="1:12">
      <c r="A16" s="216"/>
      <c r="B16" s="264" t="str">
        <f t="shared" si="1"/>
        <v>ELT_Ready_WorkflowStepStatus</v>
      </c>
      <c r="C16" s="267" t="s">
        <v>470</v>
      </c>
      <c r="D16" s="268" t="s">
        <v>503</v>
      </c>
      <c r="E16" s="268" t="s">
        <v>504</v>
      </c>
      <c r="F16" s="303" t="s">
        <v>415</v>
      </c>
      <c r="G16" s="303" t="s">
        <v>416</v>
      </c>
      <c r="H16" s="216" t="s">
        <v>417</v>
      </c>
      <c r="I16" s="265" t="s">
        <v>505</v>
      </c>
      <c r="J16" s="216" t="b">
        <v>1</v>
      </c>
      <c r="K16" s="216" t="s">
        <v>418</v>
      </c>
      <c r="L16" s="267" t="s">
        <v>497</v>
      </c>
    </row>
    <row r="17" spans="1:12">
      <c r="A17" s="216"/>
      <c r="B17" s="264" t="str">
        <f t="shared" si="1"/>
        <v>ELT_Reject_WorkflowStepStatus</v>
      </c>
      <c r="C17" s="267" t="s">
        <v>506</v>
      </c>
      <c r="D17" s="268" t="s">
        <v>507</v>
      </c>
      <c r="E17" s="266" t="str">
        <f t="shared" ref="E17:E24" si="2">D17</f>
        <v>驳回</v>
      </c>
      <c r="F17" s="303" t="s">
        <v>415</v>
      </c>
      <c r="G17" s="303" t="s">
        <v>416</v>
      </c>
      <c r="H17" s="216" t="s">
        <v>417</v>
      </c>
      <c r="I17" s="265" t="s">
        <v>508</v>
      </c>
      <c r="J17" s="216" t="b">
        <v>1</v>
      </c>
      <c r="K17" s="216" t="s">
        <v>418</v>
      </c>
      <c r="L17" s="267" t="s">
        <v>497</v>
      </c>
    </row>
    <row r="18" spans="1:12">
      <c r="A18" s="216"/>
      <c r="B18" s="264" t="str">
        <f t="shared" si="1"/>
        <v>ELT_Pass_WorkflowStepStatus</v>
      </c>
      <c r="C18" s="267" t="s">
        <v>509</v>
      </c>
      <c r="D18" s="268" t="s">
        <v>510</v>
      </c>
      <c r="E18" s="266" t="str">
        <f t="shared" si="2"/>
        <v>通过</v>
      </c>
      <c r="F18" s="303" t="s">
        <v>415</v>
      </c>
      <c r="G18" s="303" t="s">
        <v>416</v>
      </c>
      <c r="H18" s="216" t="s">
        <v>417</v>
      </c>
      <c r="I18" s="265" t="s">
        <v>511</v>
      </c>
      <c r="J18" s="216" t="b">
        <v>1</v>
      </c>
      <c r="K18" s="216" t="s">
        <v>418</v>
      </c>
      <c r="L18" s="267" t="s">
        <v>497</v>
      </c>
    </row>
    <row r="19" spans="1:12">
      <c r="A19" s="216"/>
      <c r="B19" s="264" t="str">
        <f t="shared" si="1"/>
        <v>ELT_Skip_WorkflowStepStatus</v>
      </c>
      <c r="C19" s="267" t="s">
        <v>512</v>
      </c>
      <c r="D19" s="268" t="s">
        <v>513</v>
      </c>
      <c r="E19" s="266" t="str">
        <f t="shared" si="2"/>
        <v>跳过（系统自动处理）</v>
      </c>
      <c r="F19" s="303" t="s">
        <v>415</v>
      </c>
      <c r="G19" s="303" t="s">
        <v>416</v>
      </c>
      <c r="H19" s="216" t="s">
        <v>417</v>
      </c>
      <c r="I19" s="267" t="s">
        <v>514</v>
      </c>
      <c r="J19" s="216" t="b">
        <v>1</v>
      </c>
      <c r="K19" s="216" t="s">
        <v>418</v>
      </c>
      <c r="L19" s="267" t="s">
        <v>497</v>
      </c>
    </row>
    <row r="20" spans="1:12">
      <c r="A20" s="216"/>
      <c r="B20" s="264" t="str">
        <f t="shared" si="1"/>
        <v>ELT_WorkflowImportance</v>
      </c>
      <c r="C20" s="267" t="s">
        <v>389</v>
      </c>
      <c r="D20" s="268" t="s">
        <v>388</v>
      </c>
      <c r="E20" s="266" t="str">
        <f t="shared" si="2"/>
        <v>流程等级</v>
      </c>
      <c r="F20" s="303" t="s">
        <v>415</v>
      </c>
      <c r="G20" s="303" t="s">
        <v>416</v>
      </c>
      <c r="H20" s="216" t="s">
        <v>417</v>
      </c>
      <c r="I20" s="267" t="s">
        <v>515</v>
      </c>
      <c r="J20" s="216" t="b">
        <v>1</v>
      </c>
      <c r="K20" s="216" t="s">
        <v>418</v>
      </c>
      <c r="L20" s="267"/>
    </row>
    <row r="21" spans="1:12">
      <c r="A21" s="216"/>
      <c r="B21" s="264" t="str">
        <f t="shared" si="1"/>
        <v>ELT_General_WorkflowImportance</v>
      </c>
      <c r="C21" s="267" t="s">
        <v>516</v>
      </c>
      <c r="D21" s="268" t="s">
        <v>517</v>
      </c>
      <c r="E21" s="266" t="str">
        <f t="shared" si="2"/>
        <v>一般</v>
      </c>
      <c r="F21" s="303" t="s">
        <v>415</v>
      </c>
      <c r="G21" s="303" t="s">
        <v>416</v>
      </c>
      <c r="H21" s="216" t="s">
        <v>417</v>
      </c>
      <c r="I21" s="267" t="s">
        <v>518</v>
      </c>
      <c r="J21" s="216" t="b">
        <v>1</v>
      </c>
      <c r="K21" s="216" t="s">
        <v>418</v>
      </c>
      <c r="L21" s="267" t="s">
        <v>389</v>
      </c>
    </row>
    <row r="22" spans="1:12">
      <c r="A22" s="216"/>
      <c r="B22" s="264" t="str">
        <f t="shared" si="1"/>
        <v>ELT_Important_WorkflowImportance</v>
      </c>
      <c r="C22" s="267" t="s">
        <v>519</v>
      </c>
      <c r="D22" s="268" t="s">
        <v>520</v>
      </c>
      <c r="E22" s="266" t="str">
        <f t="shared" si="2"/>
        <v>重要</v>
      </c>
      <c r="F22" s="303" t="s">
        <v>415</v>
      </c>
      <c r="G22" s="303" t="s">
        <v>416</v>
      </c>
      <c r="H22" s="216" t="s">
        <v>417</v>
      </c>
      <c r="I22" s="267" t="s">
        <v>521</v>
      </c>
      <c r="J22" s="216" t="b">
        <v>1</v>
      </c>
      <c r="K22" s="216" t="s">
        <v>418</v>
      </c>
      <c r="L22" s="267" t="s">
        <v>389</v>
      </c>
    </row>
    <row r="23" spans="1:12">
      <c r="A23" s="216"/>
      <c r="B23" s="264" t="str">
        <f t="shared" si="1"/>
        <v>ELT_Urgent_WorkflowImportance</v>
      </c>
      <c r="C23" s="267" t="s">
        <v>522</v>
      </c>
      <c r="D23" s="268" t="s">
        <v>523</v>
      </c>
      <c r="E23" s="266" t="str">
        <f t="shared" si="2"/>
        <v>紧急</v>
      </c>
      <c r="F23" s="303" t="s">
        <v>415</v>
      </c>
      <c r="G23" s="303" t="s">
        <v>416</v>
      </c>
      <c r="H23" s="216" t="s">
        <v>417</v>
      </c>
      <c r="I23" s="267" t="s">
        <v>524</v>
      </c>
      <c r="J23" s="216" t="b">
        <v>1</v>
      </c>
      <c r="K23" s="216" t="s">
        <v>418</v>
      </c>
      <c r="L23" s="267" t="s">
        <v>389</v>
      </c>
    </row>
    <row r="24" spans="1:12">
      <c r="A24" s="216"/>
      <c r="B24" s="264" t="str">
        <f t="shared" si="1"/>
        <v>ELT_WorkflowStepOperationMode</v>
      </c>
      <c r="C24" s="267" t="s">
        <v>525</v>
      </c>
      <c r="D24" s="268" t="s">
        <v>526</v>
      </c>
      <c r="E24" s="266" t="str">
        <f t="shared" si="2"/>
        <v>步骤认领模式</v>
      </c>
      <c r="F24" s="303" t="s">
        <v>415</v>
      </c>
      <c r="G24" s="303" t="s">
        <v>416</v>
      </c>
      <c r="H24" s="216" t="s">
        <v>417</v>
      </c>
      <c r="I24" s="267" t="s">
        <v>527</v>
      </c>
      <c r="J24" s="216" t="b">
        <v>1</v>
      </c>
      <c r="K24" s="216" t="s">
        <v>418</v>
      </c>
      <c r="L24" s="267"/>
    </row>
    <row r="25" spans="1:12">
      <c r="A25" s="216"/>
      <c r="B25" s="264" t="str">
        <f t="shared" si="1"/>
        <v>ELT_oneUserPerRole_WorkflowStepOperationMode</v>
      </c>
      <c r="C25" s="267" t="s">
        <v>528</v>
      </c>
      <c r="D25" s="268" t="s">
        <v>529</v>
      </c>
      <c r="E25" s="268" t="s">
        <v>530</v>
      </c>
      <c r="F25" s="303" t="s">
        <v>415</v>
      </c>
      <c r="G25" s="303" t="s">
        <v>416</v>
      </c>
      <c r="H25" s="216" t="s">
        <v>417</v>
      </c>
      <c r="I25" s="267" t="s">
        <v>531</v>
      </c>
      <c r="J25" s="216" t="b">
        <v>1</v>
      </c>
      <c r="K25" s="216" t="s">
        <v>418</v>
      </c>
      <c r="L25" s="267" t="s">
        <v>525</v>
      </c>
    </row>
    <row r="26" spans="1:12">
      <c r="A26" s="216"/>
      <c r="B26" s="264" t="str">
        <f t="shared" si="1"/>
        <v>ELT_anyoneUser_WorkflowStepOperationMode</v>
      </c>
      <c r="C26" s="267" t="s">
        <v>532</v>
      </c>
      <c r="D26" s="268" t="s">
        <v>533</v>
      </c>
      <c r="E26" s="268" t="s">
        <v>533</v>
      </c>
      <c r="F26" s="303" t="s">
        <v>415</v>
      </c>
      <c r="G26" s="303" t="s">
        <v>416</v>
      </c>
      <c r="H26" s="216" t="s">
        <v>417</v>
      </c>
      <c r="I26" s="267" t="s">
        <v>534</v>
      </c>
      <c r="J26" s="216" t="b">
        <v>1</v>
      </c>
      <c r="K26" s="216" t="s">
        <v>418</v>
      </c>
      <c r="L26" s="267" t="s">
        <v>525</v>
      </c>
    </row>
    <row r="27" spans="1:12">
      <c r="A27" s="216"/>
      <c r="B27" s="264" t="str">
        <f t="shared" si="1"/>
        <v>ELT_oneUserPerGroup_WorkflowStepOperationMode</v>
      </c>
      <c r="C27" s="267" t="s">
        <v>535</v>
      </c>
      <c r="D27" s="268" t="s">
        <v>536</v>
      </c>
      <c r="E27" s="268" t="s">
        <v>537</v>
      </c>
      <c r="F27" s="303" t="s">
        <v>415</v>
      </c>
      <c r="G27" s="303" t="s">
        <v>416</v>
      </c>
      <c r="H27" s="216" t="s">
        <v>417</v>
      </c>
      <c r="I27" s="267" t="s">
        <v>538</v>
      </c>
      <c r="J27" s="216" t="b">
        <v>1</v>
      </c>
      <c r="K27" s="216" t="s">
        <v>418</v>
      </c>
      <c r="L27" s="267" t="s">
        <v>525</v>
      </c>
    </row>
    <row r="28" spans="1:12">
      <c r="A28" s="216"/>
      <c r="B28" s="264" t="str">
        <f t="shared" si="1"/>
        <v>ELT_allUsers_WorkflowStepOperationMode</v>
      </c>
      <c r="C28" s="267" t="s">
        <v>539</v>
      </c>
      <c r="D28" s="268" t="s">
        <v>540</v>
      </c>
      <c r="E28" s="268" t="s">
        <v>533</v>
      </c>
      <c r="F28" s="303" t="s">
        <v>415</v>
      </c>
      <c r="G28" s="303" t="s">
        <v>416</v>
      </c>
      <c r="H28" s="216" t="s">
        <v>417</v>
      </c>
      <c r="I28" s="267" t="s">
        <v>541</v>
      </c>
      <c r="J28" s="216" t="b">
        <v>1</v>
      </c>
      <c r="K28" s="216" t="s">
        <v>418</v>
      </c>
      <c r="L28" s="267" t="s">
        <v>525</v>
      </c>
    </row>
    <row r="29" spans="1:12">
      <c r="A29" s="216"/>
      <c r="B29" s="264" t="str">
        <f t="shared" si="1"/>
        <v>ELT_StepClassOperationMode</v>
      </c>
      <c r="C29" s="267" t="s">
        <v>542</v>
      </c>
      <c r="D29" s="268" t="s">
        <v>543</v>
      </c>
      <c r="E29" s="266" t="str">
        <f t="shared" ref="E29:E31" si="3">D29</f>
        <v>步骤类型的处理方式</v>
      </c>
      <c r="F29" s="303" t="s">
        <v>415</v>
      </c>
      <c r="G29" s="303" t="s">
        <v>416</v>
      </c>
      <c r="H29" s="216" t="s">
        <v>417</v>
      </c>
      <c r="I29" s="267" t="s">
        <v>544</v>
      </c>
      <c r="J29" s="216" t="b">
        <v>1</v>
      </c>
      <c r="K29" s="216" t="s">
        <v>418</v>
      </c>
      <c r="L29" s="267"/>
    </row>
    <row r="30" spans="1:12">
      <c r="A30" s="216"/>
      <c r="B30" s="264" t="str">
        <f t="shared" si="1"/>
        <v>ELT_Manually_StepClassOperationMode</v>
      </c>
      <c r="C30" s="267" t="s">
        <v>545</v>
      </c>
      <c r="D30" s="268" t="s">
        <v>546</v>
      </c>
      <c r="E30" s="266" t="str">
        <f t="shared" si="3"/>
        <v>人工处理</v>
      </c>
      <c r="F30" s="303" t="s">
        <v>415</v>
      </c>
      <c r="G30" s="303" t="s">
        <v>416</v>
      </c>
      <c r="H30" s="216" t="s">
        <v>417</v>
      </c>
      <c r="I30" s="267" t="s">
        <v>547</v>
      </c>
      <c r="J30" s="216" t="b">
        <v>1</v>
      </c>
      <c r="K30" s="216" t="s">
        <v>418</v>
      </c>
      <c r="L30" s="267" t="s">
        <v>542</v>
      </c>
    </row>
    <row r="31" spans="1:12">
      <c r="A31" s="216"/>
      <c r="B31" s="264" t="str">
        <f t="shared" si="1"/>
        <v>ELT_Automatically_StepClassOperationMode</v>
      </c>
      <c r="C31" s="267" t="s">
        <v>548</v>
      </c>
      <c r="D31" s="268" t="s">
        <v>549</v>
      </c>
      <c r="E31" s="266" t="str">
        <f t="shared" si="3"/>
        <v>自动处理</v>
      </c>
      <c r="F31" s="303" t="s">
        <v>415</v>
      </c>
      <c r="G31" s="303" t="s">
        <v>416</v>
      </c>
      <c r="H31" s="216" t="s">
        <v>417</v>
      </c>
      <c r="I31" s="267" t="s">
        <v>550</v>
      </c>
      <c r="J31" s="216" t="b">
        <v>1</v>
      </c>
      <c r="K31" s="216" t="s">
        <v>418</v>
      </c>
      <c r="L31" s="267" t="s">
        <v>542</v>
      </c>
    </row>
    <row r="32" spans="1:12">
      <c r="A32" s="173"/>
      <c r="B32" s="262"/>
      <c r="C32" s="263"/>
      <c r="D32" s="180"/>
      <c r="E32" s="180"/>
      <c r="F32" s="180"/>
      <c r="G32" s="180"/>
      <c r="H32" s="180"/>
      <c r="I32" s="263"/>
      <c r="J32" s="180"/>
      <c r="K32" s="180"/>
      <c r="L32" s="180"/>
    </row>
    <row r="33" spans="1:12">
      <c r="A33" s="269" t="s">
        <v>24</v>
      </c>
      <c r="B33" s="261" t="s">
        <v>43</v>
      </c>
      <c r="C33" s="127" t="s">
        <v>81</v>
      </c>
      <c r="D33" s="127" t="s">
        <v>76</v>
      </c>
      <c r="E33" s="127" t="s">
        <v>79</v>
      </c>
      <c r="F33" s="127" t="s">
        <v>83</v>
      </c>
      <c r="G33" s="127" t="s">
        <v>82</v>
      </c>
      <c r="H33" s="127" t="s">
        <v>78</v>
      </c>
      <c r="I33" s="127" t="s">
        <v>80</v>
      </c>
      <c r="J33" s="127" t="s">
        <v>84</v>
      </c>
      <c r="K33" s="127" t="s">
        <v>85</v>
      </c>
      <c r="L33" s="215" t="s">
        <v>48</v>
      </c>
    </row>
    <row r="34" spans="1:12">
      <c r="A34" s="216"/>
      <c r="B34" s="264" t="str">
        <f t="shared" ref="B34:B55" si="4">F34&amp;"."&amp;C34&amp;"."&amp;G34</f>
        <v>Contains.ELT_WorkflowStatus.ELT_Ready_WorkflowStatus</v>
      </c>
      <c r="C34" s="216" t="s">
        <v>551</v>
      </c>
      <c r="D34" s="216" t="s">
        <v>467</v>
      </c>
      <c r="E34" s="216" t="s">
        <v>28</v>
      </c>
      <c r="F34" s="216" t="s">
        <v>34</v>
      </c>
      <c r="G34" s="216" t="s">
        <v>552</v>
      </c>
      <c r="H34" s="265" t="s">
        <v>470</v>
      </c>
      <c r="I34" s="216" t="s">
        <v>28</v>
      </c>
      <c r="J34" s="216">
        <v>10</v>
      </c>
      <c r="K34" s="216" t="b">
        <v>1</v>
      </c>
      <c r="L34" s="216" t="s">
        <v>418</v>
      </c>
    </row>
    <row r="35" spans="1:12">
      <c r="A35" s="216"/>
      <c r="B35" s="264" t="str">
        <f t="shared" si="4"/>
        <v>Contains.ELT_WorkflowStatus.ELT_Working_WorkflowStatus</v>
      </c>
      <c r="C35" s="216" t="s">
        <v>551</v>
      </c>
      <c r="D35" s="216" t="s">
        <v>467</v>
      </c>
      <c r="E35" s="216" t="s">
        <v>28</v>
      </c>
      <c r="F35" s="216" t="s">
        <v>34</v>
      </c>
      <c r="G35" s="216" t="s">
        <v>553</v>
      </c>
      <c r="H35" s="265" t="s">
        <v>473</v>
      </c>
      <c r="I35" s="216" t="s">
        <v>28</v>
      </c>
      <c r="J35" s="216">
        <v>20</v>
      </c>
      <c r="K35" s="216" t="b">
        <v>1</v>
      </c>
      <c r="L35" s="216" t="s">
        <v>418</v>
      </c>
    </row>
    <row r="36" spans="1:12">
      <c r="A36" s="216"/>
      <c r="B36" s="264" t="str">
        <f t="shared" si="4"/>
        <v>Contains.ELT_WorkflowStatus.ELT_Completed_WorkflowStatus</v>
      </c>
      <c r="C36" s="216" t="s">
        <v>551</v>
      </c>
      <c r="D36" s="216" t="s">
        <v>467</v>
      </c>
      <c r="E36" s="216" t="s">
        <v>28</v>
      </c>
      <c r="F36" s="216" t="s">
        <v>34</v>
      </c>
      <c r="G36" s="216" t="s">
        <v>554</v>
      </c>
      <c r="H36" s="265" t="s">
        <v>476</v>
      </c>
      <c r="I36" s="216" t="s">
        <v>28</v>
      </c>
      <c r="J36" s="216">
        <v>30</v>
      </c>
      <c r="K36" s="216" t="b">
        <v>1</v>
      </c>
      <c r="L36" s="216" t="s">
        <v>418</v>
      </c>
    </row>
    <row r="37" spans="1:12">
      <c r="A37" s="216"/>
      <c r="B37" s="264" t="str">
        <f t="shared" si="4"/>
        <v>Contains.ELT_WorkflowStatus.ELT_Error_WorkflowStatus</v>
      </c>
      <c r="C37" s="216" t="s">
        <v>551</v>
      </c>
      <c r="D37" s="216" t="s">
        <v>467</v>
      </c>
      <c r="E37" s="216" t="s">
        <v>28</v>
      </c>
      <c r="F37" s="216" t="s">
        <v>34</v>
      </c>
      <c r="G37" s="216" t="s">
        <v>555</v>
      </c>
      <c r="H37" s="265" t="s">
        <v>479</v>
      </c>
      <c r="I37" s="216" t="s">
        <v>28</v>
      </c>
      <c r="J37" s="216">
        <v>40</v>
      </c>
      <c r="K37" s="216" t="b">
        <v>1</v>
      </c>
      <c r="L37" s="216" t="s">
        <v>418</v>
      </c>
    </row>
    <row r="38" spans="1:12">
      <c r="A38" s="216"/>
      <c r="B38" s="264" t="str">
        <f t="shared" si="4"/>
        <v>Contains.ELT_NotificationType.ELT_All_NotificationType</v>
      </c>
      <c r="C38" s="265" t="s">
        <v>556</v>
      </c>
      <c r="D38" s="265" t="s">
        <v>482</v>
      </c>
      <c r="E38" s="265" t="s">
        <v>28</v>
      </c>
      <c r="F38" s="265" t="s">
        <v>34</v>
      </c>
      <c r="G38" s="265" t="s">
        <v>557</v>
      </c>
      <c r="H38" s="265" t="s">
        <v>485</v>
      </c>
      <c r="I38" s="265" t="s">
        <v>28</v>
      </c>
      <c r="J38" s="265" t="s">
        <v>558</v>
      </c>
      <c r="K38" s="265" t="b">
        <v>1</v>
      </c>
      <c r="L38" s="265" t="s">
        <v>418</v>
      </c>
    </row>
    <row r="39" spans="1:12">
      <c r="A39" s="216"/>
      <c r="B39" s="264" t="str">
        <f t="shared" si="4"/>
        <v>Contains.ELT_NotificationType.ELT_E-mail_NotificationType</v>
      </c>
      <c r="C39" s="265" t="s">
        <v>556</v>
      </c>
      <c r="D39" s="265" t="s">
        <v>482</v>
      </c>
      <c r="E39" s="265" t="s">
        <v>28</v>
      </c>
      <c r="F39" s="265" t="s">
        <v>34</v>
      </c>
      <c r="G39" s="265" t="s">
        <v>559</v>
      </c>
      <c r="H39" s="265" t="s">
        <v>488</v>
      </c>
      <c r="I39" s="265" t="s">
        <v>28</v>
      </c>
      <c r="J39" s="265" t="s">
        <v>560</v>
      </c>
      <c r="K39" s="265" t="b">
        <v>1</v>
      </c>
      <c r="L39" s="265" t="s">
        <v>418</v>
      </c>
    </row>
    <row r="40" spans="1:12">
      <c r="A40" s="216"/>
      <c r="B40" s="264" t="str">
        <f t="shared" si="4"/>
        <v>Contains.ELT_NotificationType.ELT_Message_NotificationType</v>
      </c>
      <c r="C40" s="265" t="s">
        <v>556</v>
      </c>
      <c r="D40" s="265" t="s">
        <v>482</v>
      </c>
      <c r="E40" s="265" t="s">
        <v>28</v>
      </c>
      <c r="F40" s="265" t="s">
        <v>34</v>
      </c>
      <c r="G40" s="265" t="s">
        <v>561</v>
      </c>
      <c r="H40" s="265" t="s">
        <v>491</v>
      </c>
      <c r="I40" s="265" t="s">
        <v>28</v>
      </c>
      <c r="J40" s="265" t="s">
        <v>562</v>
      </c>
      <c r="K40" s="265" t="b">
        <v>1</v>
      </c>
      <c r="L40" s="265" t="s">
        <v>418</v>
      </c>
    </row>
    <row r="41" spans="1:12">
      <c r="A41" s="216"/>
      <c r="B41" s="264" t="str">
        <f t="shared" si="4"/>
        <v>Contains.ELT_NotificationType.ELT_Mail_NotificationType</v>
      </c>
      <c r="C41" s="265" t="s">
        <v>556</v>
      </c>
      <c r="D41" s="265" t="s">
        <v>482</v>
      </c>
      <c r="E41" s="265" t="s">
        <v>28</v>
      </c>
      <c r="F41" s="265" t="s">
        <v>34</v>
      </c>
      <c r="G41" s="265" t="s">
        <v>563</v>
      </c>
      <c r="H41" s="265" t="s">
        <v>494</v>
      </c>
      <c r="I41" s="265" t="s">
        <v>28</v>
      </c>
      <c r="J41" s="265" t="s">
        <v>564</v>
      </c>
      <c r="K41" s="265" t="b">
        <v>1</v>
      </c>
      <c r="L41" s="265" t="s">
        <v>418</v>
      </c>
    </row>
    <row r="42" spans="1:12">
      <c r="A42" s="216"/>
      <c r="B42" s="264" t="str">
        <f t="shared" si="4"/>
        <v>Contains.ELT_WorkflowStepStatus.ELT_Init_WorkflowStepStatus</v>
      </c>
      <c r="C42" s="265" t="s">
        <v>565</v>
      </c>
      <c r="D42" s="265" t="s">
        <v>497</v>
      </c>
      <c r="E42" s="265" t="s">
        <v>28</v>
      </c>
      <c r="F42" s="265" t="s">
        <v>34</v>
      </c>
      <c r="G42" s="265" t="s">
        <v>566</v>
      </c>
      <c r="H42" s="267" t="s">
        <v>500</v>
      </c>
      <c r="I42" s="265" t="s">
        <v>28</v>
      </c>
      <c r="J42" s="265" t="s">
        <v>558</v>
      </c>
      <c r="K42" s="265" t="b">
        <v>1</v>
      </c>
      <c r="L42" s="265" t="s">
        <v>418</v>
      </c>
    </row>
    <row r="43" spans="1:12">
      <c r="A43" s="216"/>
      <c r="B43" s="264" t="str">
        <f t="shared" si="4"/>
        <v>Contains.ELT_WorkflowStepStatus.ELT_Ready_WorkflowStepStatus</v>
      </c>
      <c r="C43" s="265" t="s">
        <v>565</v>
      </c>
      <c r="D43" s="265" t="s">
        <v>497</v>
      </c>
      <c r="E43" s="265" t="s">
        <v>28</v>
      </c>
      <c r="F43" s="265" t="s">
        <v>34</v>
      </c>
      <c r="G43" s="265" t="s">
        <v>567</v>
      </c>
      <c r="H43" s="265" t="s">
        <v>470</v>
      </c>
      <c r="I43" s="265" t="s">
        <v>28</v>
      </c>
      <c r="J43" s="265" t="s">
        <v>560</v>
      </c>
      <c r="K43" s="265" t="b">
        <v>1</v>
      </c>
      <c r="L43" s="265" t="s">
        <v>418</v>
      </c>
    </row>
    <row r="44" spans="1:12">
      <c r="A44" s="216"/>
      <c r="B44" s="264" t="str">
        <f t="shared" si="4"/>
        <v>Contains.ELT_WorkflowStepStatus.ELT_Reject_WorkflowStepStatus</v>
      </c>
      <c r="C44" s="265" t="s">
        <v>565</v>
      </c>
      <c r="D44" s="265" t="s">
        <v>497</v>
      </c>
      <c r="E44" s="265" t="s">
        <v>28</v>
      </c>
      <c r="F44" s="265" t="s">
        <v>34</v>
      </c>
      <c r="G44" s="265" t="s">
        <v>568</v>
      </c>
      <c r="H44" s="265" t="s">
        <v>506</v>
      </c>
      <c r="I44" s="265" t="s">
        <v>28</v>
      </c>
      <c r="J44" s="265" t="s">
        <v>562</v>
      </c>
      <c r="K44" s="265" t="b">
        <v>1</v>
      </c>
      <c r="L44" s="265" t="s">
        <v>418</v>
      </c>
    </row>
    <row r="45" spans="1:12">
      <c r="B45" s="264" t="str">
        <f t="shared" si="4"/>
        <v>Contains.ELT_WorkflowStepStatus.ELT_Pass_WorkflowStepStatus</v>
      </c>
      <c r="C45" s="265" t="s">
        <v>565</v>
      </c>
      <c r="D45" s="265" t="s">
        <v>497</v>
      </c>
      <c r="E45" s="265" t="s">
        <v>28</v>
      </c>
      <c r="F45" s="265" t="s">
        <v>34</v>
      </c>
      <c r="G45" s="265" t="s">
        <v>569</v>
      </c>
      <c r="H45" s="265" t="s">
        <v>509</v>
      </c>
      <c r="I45" s="265" t="s">
        <v>28</v>
      </c>
      <c r="J45" s="265" t="s">
        <v>564</v>
      </c>
      <c r="K45" s="265" t="b">
        <v>1</v>
      </c>
      <c r="L45" s="265" t="s">
        <v>418</v>
      </c>
    </row>
    <row r="46" spans="1:12">
      <c r="B46" s="264" t="str">
        <f t="shared" si="4"/>
        <v>Contains.ELT_WorkflowStepStatus.ELT_Skip_WorkflowStepStatus</v>
      </c>
      <c r="C46" s="265" t="s">
        <v>565</v>
      </c>
      <c r="D46" s="265" t="s">
        <v>497</v>
      </c>
      <c r="E46" s="265" t="s">
        <v>28</v>
      </c>
      <c r="F46" s="265" t="s">
        <v>34</v>
      </c>
      <c r="G46" s="265" t="s">
        <v>570</v>
      </c>
      <c r="H46" s="265" t="s">
        <v>512</v>
      </c>
      <c r="I46" s="265" t="s">
        <v>28</v>
      </c>
      <c r="J46" s="267" t="s">
        <v>571</v>
      </c>
      <c r="K46" s="265" t="b">
        <v>1</v>
      </c>
      <c r="L46" s="265" t="s">
        <v>418</v>
      </c>
    </row>
    <row r="47" spans="1:12">
      <c r="B47" s="264" t="str">
        <f t="shared" si="4"/>
        <v>Contains.ELT_WorkflowImportance.ELT_General_WorkflowImportance</v>
      </c>
      <c r="C47" s="270" t="s">
        <v>572</v>
      </c>
      <c r="D47" s="270" t="s">
        <v>389</v>
      </c>
      <c r="E47" s="265" t="s">
        <v>28</v>
      </c>
      <c r="F47" s="265" t="s">
        <v>34</v>
      </c>
      <c r="G47" s="270" t="s">
        <v>573</v>
      </c>
      <c r="H47" s="270" t="s">
        <v>516</v>
      </c>
      <c r="I47" s="265" t="s">
        <v>28</v>
      </c>
      <c r="J47" s="265" t="s">
        <v>558</v>
      </c>
      <c r="K47" s="265" t="b">
        <v>1</v>
      </c>
      <c r="L47" s="265" t="s">
        <v>418</v>
      </c>
    </row>
    <row r="48" spans="1:12">
      <c r="B48" s="264" t="str">
        <f t="shared" si="4"/>
        <v>Contains.ELT_WorkflowImportance.ELT_Important_WorkflowImportance</v>
      </c>
      <c r="C48" s="270" t="s">
        <v>572</v>
      </c>
      <c r="D48" s="270" t="s">
        <v>389</v>
      </c>
      <c r="E48" s="265" t="s">
        <v>28</v>
      </c>
      <c r="F48" s="265" t="s">
        <v>34</v>
      </c>
      <c r="G48" s="270" t="s">
        <v>574</v>
      </c>
      <c r="H48" s="270" t="s">
        <v>519</v>
      </c>
      <c r="I48" s="265" t="s">
        <v>28</v>
      </c>
      <c r="J48" s="265" t="s">
        <v>560</v>
      </c>
      <c r="K48" s="265" t="b">
        <v>1</v>
      </c>
      <c r="L48" s="265" t="s">
        <v>418</v>
      </c>
    </row>
    <row r="49" spans="2:12">
      <c r="B49" s="264" t="str">
        <f t="shared" si="4"/>
        <v>Contains.ELT_WorkflowImportance.ELT_Urgent_WorkflowImportance</v>
      </c>
      <c r="C49" s="270" t="s">
        <v>572</v>
      </c>
      <c r="D49" s="270" t="s">
        <v>389</v>
      </c>
      <c r="E49" s="265" t="s">
        <v>28</v>
      </c>
      <c r="F49" s="265" t="s">
        <v>34</v>
      </c>
      <c r="G49" s="270" t="s">
        <v>575</v>
      </c>
      <c r="H49" s="270" t="s">
        <v>522</v>
      </c>
      <c r="I49" s="265" t="s">
        <v>28</v>
      </c>
      <c r="J49" s="265" t="s">
        <v>562</v>
      </c>
      <c r="K49" s="265" t="b">
        <v>1</v>
      </c>
      <c r="L49" s="265" t="s">
        <v>418</v>
      </c>
    </row>
    <row r="50" spans="2:12">
      <c r="B50" s="264" t="str">
        <f t="shared" si="4"/>
        <v>Contains.ELT_WorkflowStepOperationMode.ELT_oneUserPerRole_WorkflowStepOperationMode</v>
      </c>
      <c r="C50" s="260" t="s">
        <v>576</v>
      </c>
      <c r="D50" s="260" t="s">
        <v>525</v>
      </c>
      <c r="E50" s="265" t="s">
        <v>28</v>
      </c>
      <c r="F50" s="265" t="s">
        <v>34</v>
      </c>
      <c r="G50" s="260" t="s">
        <v>577</v>
      </c>
      <c r="H50" s="260" t="s">
        <v>528</v>
      </c>
      <c r="I50" s="265" t="s">
        <v>28</v>
      </c>
      <c r="J50" s="265" t="s">
        <v>558</v>
      </c>
      <c r="K50" s="265" t="b">
        <v>1</v>
      </c>
      <c r="L50" s="265" t="s">
        <v>418</v>
      </c>
    </row>
    <row r="51" spans="2:12">
      <c r="B51" s="264" t="str">
        <f t="shared" si="4"/>
        <v>Contains.ELT_WorkflowStepOperationMode.ELT_anyoneUser_WorkflowStepOperationMode</v>
      </c>
      <c r="C51" s="260" t="s">
        <v>576</v>
      </c>
      <c r="D51" s="260" t="s">
        <v>525</v>
      </c>
      <c r="E51" s="265" t="s">
        <v>28</v>
      </c>
      <c r="F51" s="265" t="s">
        <v>34</v>
      </c>
      <c r="G51" s="260" t="s">
        <v>578</v>
      </c>
      <c r="H51" s="260" t="s">
        <v>532</v>
      </c>
      <c r="I51" s="265" t="s">
        <v>28</v>
      </c>
      <c r="J51" s="265" t="s">
        <v>560</v>
      </c>
      <c r="K51" s="265" t="b">
        <v>1</v>
      </c>
      <c r="L51" s="265" t="s">
        <v>418</v>
      </c>
    </row>
    <row r="52" spans="2:12">
      <c r="B52" s="264" t="str">
        <f t="shared" si="4"/>
        <v>Contains.ELT_WorkflowStepOperationMode.ELT_oneUserPerGroup_WorkflowStepOperationMode</v>
      </c>
      <c r="C52" s="260" t="s">
        <v>576</v>
      </c>
      <c r="D52" s="260" t="s">
        <v>525</v>
      </c>
      <c r="E52" s="265" t="s">
        <v>28</v>
      </c>
      <c r="F52" s="265" t="s">
        <v>34</v>
      </c>
      <c r="G52" s="260" t="s">
        <v>579</v>
      </c>
      <c r="H52" s="260" t="s">
        <v>535</v>
      </c>
      <c r="I52" s="265" t="s">
        <v>28</v>
      </c>
      <c r="J52" s="265" t="s">
        <v>562</v>
      </c>
      <c r="K52" s="265" t="b">
        <v>1</v>
      </c>
      <c r="L52" s="265" t="s">
        <v>418</v>
      </c>
    </row>
    <row r="53" spans="2:12">
      <c r="B53" s="264" t="str">
        <f t="shared" si="4"/>
        <v>Contains.ELT_WorkflowStepOperationMode.ELT_allUsers_WorkflowStepOperationMode</v>
      </c>
      <c r="C53" s="260" t="s">
        <v>576</v>
      </c>
      <c r="D53" s="260" t="s">
        <v>525</v>
      </c>
      <c r="E53" s="265" t="s">
        <v>28</v>
      </c>
      <c r="F53" s="265" t="s">
        <v>34</v>
      </c>
      <c r="G53" s="260" t="s">
        <v>580</v>
      </c>
      <c r="H53" s="260" t="s">
        <v>539</v>
      </c>
      <c r="I53" s="265" t="s">
        <v>28</v>
      </c>
      <c r="J53" s="265" t="s">
        <v>564</v>
      </c>
      <c r="K53" s="265" t="b">
        <v>1</v>
      </c>
      <c r="L53" s="265" t="s">
        <v>418</v>
      </c>
    </row>
    <row r="54" spans="2:12">
      <c r="B54" s="264" t="str">
        <f t="shared" si="4"/>
        <v>Contains.ELT_StepClassOperationMode.ELT_Manually_StepClassOperationMode</v>
      </c>
      <c r="C54" s="260" t="s">
        <v>581</v>
      </c>
      <c r="D54" s="260" t="s">
        <v>542</v>
      </c>
      <c r="E54" s="265" t="s">
        <v>28</v>
      </c>
      <c r="F54" s="265" t="s">
        <v>34</v>
      </c>
      <c r="G54" s="260" t="s">
        <v>582</v>
      </c>
      <c r="H54" s="260" t="s">
        <v>545</v>
      </c>
      <c r="I54" s="265" t="s">
        <v>28</v>
      </c>
      <c r="J54" s="265" t="s">
        <v>558</v>
      </c>
      <c r="K54" s="265" t="b">
        <v>1</v>
      </c>
      <c r="L54" s="265" t="s">
        <v>418</v>
      </c>
    </row>
    <row r="55" spans="2:12">
      <c r="B55" s="264" t="str">
        <f t="shared" si="4"/>
        <v>Contains.ELT_StepClassOperationMode.ELT_Automatically_StepClassOperationMode</v>
      </c>
      <c r="C55" s="260" t="s">
        <v>581</v>
      </c>
      <c r="D55" s="260" t="s">
        <v>542</v>
      </c>
      <c r="E55" s="265" t="s">
        <v>28</v>
      </c>
      <c r="F55" s="265" t="s">
        <v>34</v>
      </c>
      <c r="G55" s="260" t="s">
        <v>583</v>
      </c>
      <c r="H55" s="260" t="s">
        <v>548</v>
      </c>
      <c r="I55" s="265" t="s">
        <v>28</v>
      </c>
      <c r="J55" s="265" t="s">
        <v>560</v>
      </c>
      <c r="K55" s="265" t="b">
        <v>1</v>
      </c>
      <c r="L55" s="265" t="s">
        <v>418</v>
      </c>
    </row>
  </sheetData>
  <sheetProtection formatCells="0" insertHyperlinks="0" autoFilter="0"/>
  <mergeCells count="1">
    <mergeCell ref="A1:J1"/>
  </mergeCells>
  <conditionalFormatting sqref="B2">
    <cfRule type="duplicateValues" dxfId="31" priority="3"/>
    <cfRule type="duplicateValues" dxfId="30" priority="2"/>
  </conditionalFormatting>
  <conditionalFormatting sqref="B3">
    <cfRule type="duplicateValues" dxfId="29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1:Q53"/>
  <sheetViews>
    <sheetView zoomScale="120" zoomScaleNormal="120" workbookViewId="0">
      <selection activeCell="J45" sqref="J45"/>
    </sheetView>
  </sheetViews>
  <sheetFormatPr defaultColWidth="9" defaultRowHeight="11.25"/>
  <cols>
    <col min="1" max="1" width="8.5703125" style="222" customWidth="1"/>
    <col min="2" max="3" width="26.42578125" style="222" customWidth="1"/>
    <col min="4" max="5" width="18.7109375" style="223" customWidth="1"/>
    <col min="6" max="6" width="8.140625" style="222" customWidth="1"/>
    <col min="7" max="8" width="3.42578125" style="222" customWidth="1"/>
    <col min="9" max="9" width="13.42578125" style="222" customWidth="1"/>
    <col min="10" max="10" width="23.42578125" style="222" customWidth="1"/>
    <col min="11" max="11" width="8.7109375" style="222" customWidth="1"/>
    <col min="12" max="12" width="6.7109375" style="222" customWidth="1"/>
    <col min="13" max="13" width="11" style="222" customWidth="1"/>
    <col min="14" max="14" width="8" style="222" customWidth="1"/>
    <col min="15" max="15" width="24.42578125" style="222" customWidth="1"/>
    <col min="16" max="16" width="11.85546875" style="222" customWidth="1"/>
    <col min="17" max="17" width="7.85546875" style="222" customWidth="1"/>
    <col min="18" max="16384" width="9" style="222"/>
  </cols>
  <sheetData>
    <row r="1" spans="1:17">
      <c r="A1" s="325" t="s">
        <v>584</v>
      </c>
      <c r="B1" s="325"/>
      <c r="C1" s="325"/>
      <c r="D1" s="326"/>
      <c r="E1" s="3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</row>
    <row r="2" spans="1:17">
      <c r="A2" s="224"/>
      <c r="B2" s="224"/>
      <c r="C2" s="224"/>
      <c r="D2" s="225"/>
      <c r="E2" s="225"/>
      <c r="F2" s="224"/>
      <c r="G2" s="224"/>
      <c r="H2" s="224"/>
      <c r="I2" s="224"/>
      <c r="J2" s="224"/>
      <c r="K2" s="224"/>
      <c r="L2" s="224"/>
      <c r="M2" s="224"/>
      <c r="N2" s="224"/>
      <c r="O2" s="250"/>
      <c r="P2" s="250"/>
      <c r="Q2" s="224"/>
    </row>
    <row r="3" spans="1:17">
      <c r="A3" s="226" t="s">
        <v>35</v>
      </c>
      <c r="B3" s="226" t="s">
        <v>43</v>
      </c>
      <c r="C3" s="227" t="s">
        <v>46</v>
      </c>
      <c r="D3" s="228" t="s">
        <v>50</v>
      </c>
      <c r="E3" s="228" t="s">
        <v>51</v>
      </c>
      <c r="F3" s="227" t="s">
        <v>61</v>
      </c>
      <c r="G3" s="227" t="s">
        <v>70</v>
      </c>
      <c r="H3" s="227" t="s">
        <v>71</v>
      </c>
      <c r="I3" s="227" t="s">
        <v>103</v>
      </c>
      <c r="J3" s="227" t="s">
        <v>105</v>
      </c>
      <c r="K3" s="227" t="s">
        <v>106</v>
      </c>
      <c r="L3" s="227" t="s">
        <v>107</v>
      </c>
      <c r="M3" s="227" t="s">
        <v>108</v>
      </c>
      <c r="N3" s="227" t="s">
        <v>109</v>
      </c>
      <c r="O3" s="227" t="s">
        <v>110</v>
      </c>
      <c r="P3" s="227" t="s">
        <v>69</v>
      </c>
      <c r="Q3" s="226" t="s">
        <v>48</v>
      </c>
    </row>
    <row r="4" spans="1:17">
      <c r="A4" s="229"/>
      <c r="B4" s="230" t="str">
        <f t="shared" ref="B4:B9" si="0">C4</f>
        <v>WorkflowStepDuration</v>
      </c>
      <c r="C4" s="229" t="s">
        <v>304</v>
      </c>
      <c r="D4" s="231" t="s">
        <v>585</v>
      </c>
      <c r="E4" s="231" t="str">
        <f>D4</f>
        <v>计划持续时间</v>
      </c>
      <c r="F4" s="230" t="b">
        <v>1</v>
      </c>
      <c r="G4" s="304" t="s">
        <v>415</v>
      </c>
      <c r="H4" s="304" t="s">
        <v>416</v>
      </c>
      <c r="I4" s="229" t="s">
        <v>586</v>
      </c>
      <c r="J4" s="229"/>
      <c r="K4" s="230" t="b">
        <v>0</v>
      </c>
      <c r="L4" s="230" t="b">
        <v>1</v>
      </c>
      <c r="M4" s="230" t="b">
        <v>0</v>
      </c>
      <c r="N4" s="229"/>
      <c r="O4" s="230" t="s">
        <v>296</v>
      </c>
      <c r="P4" s="230" t="s">
        <v>417</v>
      </c>
      <c r="Q4" s="230" t="s">
        <v>418</v>
      </c>
    </row>
    <row r="5" spans="1:17">
      <c r="A5" s="229"/>
      <c r="B5" s="232" t="str">
        <f t="shared" si="0"/>
        <v>WorkflowStepWarningTime</v>
      </c>
      <c r="C5" s="233" t="s">
        <v>298</v>
      </c>
      <c r="D5" s="234" t="s">
        <v>587</v>
      </c>
      <c r="E5" s="234" t="s">
        <v>587</v>
      </c>
      <c r="F5" s="232" t="b">
        <v>1</v>
      </c>
      <c r="G5" s="305" t="s">
        <v>415</v>
      </c>
      <c r="H5" s="305" t="s">
        <v>416</v>
      </c>
      <c r="I5" s="233" t="s">
        <v>588</v>
      </c>
      <c r="J5" s="248"/>
      <c r="K5" s="232" t="b">
        <v>0</v>
      </c>
      <c r="L5" s="232" t="b">
        <v>1</v>
      </c>
      <c r="M5" s="232" t="b">
        <v>0</v>
      </c>
      <c r="N5" s="248"/>
      <c r="O5" s="233" t="s">
        <v>296</v>
      </c>
      <c r="P5" s="232" t="s">
        <v>417</v>
      </c>
      <c r="Q5" s="232" t="s">
        <v>418</v>
      </c>
    </row>
    <row r="6" spans="1:17">
      <c r="A6" s="229"/>
      <c r="B6" s="232" t="str">
        <f t="shared" si="0"/>
        <v>WorkflowStepPrincipalPrescription</v>
      </c>
      <c r="C6" s="233" t="s">
        <v>300</v>
      </c>
      <c r="D6" s="234" t="s">
        <v>589</v>
      </c>
      <c r="E6" s="234" t="s">
        <v>589</v>
      </c>
      <c r="F6" s="232" t="b">
        <v>1</v>
      </c>
      <c r="G6" s="305" t="s">
        <v>415</v>
      </c>
      <c r="H6" s="305" t="s">
        <v>416</v>
      </c>
      <c r="I6" s="233" t="s">
        <v>588</v>
      </c>
      <c r="J6" s="248"/>
      <c r="K6" s="232" t="b">
        <v>0</v>
      </c>
      <c r="L6" s="232" t="b">
        <v>1</v>
      </c>
      <c r="M6" s="232" t="b">
        <v>0</v>
      </c>
      <c r="N6" s="248"/>
      <c r="O6" s="233" t="s">
        <v>296</v>
      </c>
      <c r="P6" s="232" t="s">
        <v>417</v>
      </c>
      <c r="Q6" s="232" t="s">
        <v>418</v>
      </c>
    </row>
    <row r="7" spans="1:17">
      <c r="A7" s="229"/>
      <c r="B7" s="232" t="str">
        <f t="shared" si="0"/>
        <v>WorkflowStepOperationMode</v>
      </c>
      <c r="C7" s="233" t="s">
        <v>525</v>
      </c>
      <c r="D7" s="234" t="s">
        <v>590</v>
      </c>
      <c r="E7" s="234" t="s">
        <v>590</v>
      </c>
      <c r="F7" s="232" t="b">
        <v>1</v>
      </c>
      <c r="G7" s="305" t="s">
        <v>415</v>
      </c>
      <c r="H7" s="305" t="s">
        <v>416</v>
      </c>
      <c r="I7" s="233" t="s">
        <v>591</v>
      </c>
      <c r="J7" s="248" t="s">
        <v>576</v>
      </c>
      <c r="K7" s="232" t="b">
        <v>0</v>
      </c>
      <c r="L7" s="232" t="b">
        <v>1</v>
      </c>
      <c r="M7" s="232" t="b">
        <v>0</v>
      </c>
      <c r="N7" s="248"/>
      <c r="O7" s="233" t="s">
        <v>296</v>
      </c>
      <c r="P7" s="232" t="s">
        <v>417</v>
      </c>
      <c r="Q7" s="232" t="s">
        <v>418</v>
      </c>
    </row>
    <row r="8" spans="1:17">
      <c r="A8" s="229"/>
      <c r="B8" s="232" t="str">
        <f t="shared" si="0"/>
        <v>WorkflowProportion</v>
      </c>
      <c r="C8" s="233" t="s">
        <v>592</v>
      </c>
      <c r="D8" s="234" t="s">
        <v>593</v>
      </c>
      <c r="E8" s="234" t="s">
        <v>589</v>
      </c>
      <c r="F8" s="232" t="b">
        <v>1</v>
      </c>
      <c r="G8" s="305" t="s">
        <v>415</v>
      </c>
      <c r="H8" s="305" t="s">
        <v>416</v>
      </c>
      <c r="I8" s="233" t="s">
        <v>588</v>
      </c>
      <c r="J8" s="248"/>
      <c r="K8" s="232" t="b">
        <v>0</v>
      </c>
      <c r="L8" s="232" t="b">
        <v>1</v>
      </c>
      <c r="M8" s="232" t="b">
        <v>0</v>
      </c>
      <c r="N8" s="248"/>
      <c r="O8" s="233" t="s">
        <v>296</v>
      </c>
      <c r="P8" s="232" t="s">
        <v>417</v>
      </c>
      <c r="Q8" s="232" t="s">
        <v>418</v>
      </c>
    </row>
    <row r="9" spans="1:17">
      <c r="A9" s="229"/>
      <c r="B9" s="232" t="str">
        <f t="shared" si="0"/>
        <v>WorkflowStepRemark</v>
      </c>
      <c r="C9" s="233" t="s">
        <v>594</v>
      </c>
      <c r="D9" s="234" t="s">
        <v>595</v>
      </c>
      <c r="E9" s="234" t="s">
        <v>590</v>
      </c>
      <c r="F9" s="232" t="b">
        <v>1</v>
      </c>
      <c r="G9" s="305" t="s">
        <v>415</v>
      </c>
      <c r="H9" s="305" t="s">
        <v>416</v>
      </c>
      <c r="I9" s="229" t="s">
        <v>596</v>
      </c>
      <c r="J9" s="248"/>
      <c r="K9" s="232" t="b">
        <v>0</v>
      </c>
      <c r="L9" s="232" t="b">
        <v>1</v>
      </c>
      <c r="M9" s="232" t="b">
        <v>0</v>
      </c>
      <c r="N9" s="248">
        <v>256</v>
      </c>
      <c r="O9" s="233" t="s">
        <v>296</v>
      </c>
      <c r="P9" s="232" t="s">
        <v>417</v>
      </c>
      <c r="Q9" s="232" t="s">
        <v>418</v>
      </c>
    </row>
    <row r="10" spans="1:17">
      <c r="A10" s="235"/>
      <c r="B10" s="230" t="str">
        <f t="shared" ref="B10:B19" si="1">C10</f>
        <v>WorkflowStepStartDate</v>
      </c>
      <c r="C10" s="229" t="s">
        <v>295</v>
      </c>
      <c r="D10" s="231" t="s">
        <v>597</v>
      </c>
      <c r="E10" s="231" t="str">
        <f>D10</f>
        <v>开始日期</v>
      </c>
      <c r="F10" s="230" t="b">
        <v>1</v>
      </c>
      <c r="G10" s="304" t="s">
        <v>415</v>
      </c>
      <c r="H10" s="304" t="s">
        <v>416</v>
      </c>
      <c r="I10" s="229" t="s">
        <v>598</v>
      </c>
      <c r="J10" s="229"/>
      <c r="K10" s="230" t="b">
        <v>0</v>
      </c>
      <c r="L10" s="230" t="b">
        <v>1</v>
      </c>
      <c r="M10" s="230" t="b">
        <v>0</v>
      </c>
      <c r="N10" s="229"/>
      <c r="O10" s="230" t="s">
        <v>431</v>
      </c>
      <c r="P10" s="230" t="s">
        <v>417</v>
      </c>
      <c r="Q10" s="230" t="s">
        <v>418</v>
      </c>
    </row>
    <row r="11" spans="1:17">
      <c r="A11" s="229"/>
      <c r="B11" s="230" t="str">
        <f t="shared" si="1"/>
        <v>WorkflowStepEndDate</v>
      </c>
      <c r="C11" s="229" t="s">
        <v>302</v>
      </c>
      <c r="D11" s="231" t="s">
        <v>599</v>
      </c>
      <c r="E11" s="231" t="str">
        <f>D11</f>
        <v>结束日期</v>
      </c>
      <c r="F11" s="230" t="b">
        <v>1</v>
      </c>
      <c r="G11" s="304" t="s">
        <v>415</v>
      </c>
      <c r="H11" s="304" t="s">
        <v>416</v>
      </c>
      <c r="I11" s="229" t="s">
        <v>598</v>
      </c>
      <c r="J11" s="229"/>
      <c r="K11" s="230" t="b">
        <v>0</v>
      </c>
      <c r="L11" s="230" t="b">
        <v>1</v>
      </c>
      <c r="M11" s="230" t="b">
        <v>0</v>
      </c>
      <c r="N11" s="229"/>
      <c r="O11" s="230" t="s">
        <v>431</v>
      </c>
      <c r="P11" s="230" t="s">
        <v>417</v>
      </c>
      <c r="Q11" s="230" t="s">
        <v>418</v>
      </c>
    </row>
    <row r="12" spans="1:17">
      <c r="A12" s="229"/>
      <c r="B12" s="230" t="str">
        <f t="shared" si="1"/>
        <v>WorkflowStepActualDuration</v>
      </c>
      <c r="C12" s="229" t="s">
        <v>600</v>
      </c>
      <c r="D12" s="231" t="s">
        <v>601</v>
      </c>
      <c r="E12" s="231" t="s">
        <v>601</v>
      </c>
      <c r="F12" s="232" t="b">
        <v>1</v>
      </c>
      <c r="G12" s="305" t="s">
        <v>415</v>
      </c>
      <c r="H12" s="305" t="s">
        <v>416</v>
      </c>
      <c r="I12" s="233" t="s">
        <v>588</v>
      </c>
      <c r="J12" s="229"/>
      <c r="K12" s="230" t="b">
        <v>0</v>
      </c>
      <c r="L12" s="230" t="b">
        <v>1</v>
      </c>
      <c r="M12" s="230" t="b">
        <v>0</v>
      </c>
      <c r="N12" s="229"/>
      <c r="O12" s="230" t="s">
        <v>431</v>
      </c>
      <c r="P12" s="230" t="s">
        <v>417</v>
      </c>
      <c r="Q12" s="230" t="s">
        <v>418</v>
      </c>
    </row>
    <row r="13" spans="1:17">
      <c r="A13" s="235"/>
      <c r="B13" s="230" t="str">
        <f t="shared" si="1"/>
        <v>WorkflowStepStatus</v>
      </c>
      <c r="C13" s="236" t="s">
        <v>497</v>
      </c>
      <c r="D13" s="237" t="s">
        <v>602</v>
      </c>
      <c r="E13" s="231" t="str">
        <f t="shared" ref="E13:E22" si="2">D13</f>
        <v>状态</v>
      </c>
      <c r="F13" s="230" t="b">
        <v>1</v>
      </c>
      <c r="G13" s="304" t="s">
        <v>415</v>
      </c>
      <c r="H13" s="304" t="s">
        <v>416</v>
      </c>
      <c r="I13" s="230" t="s">
        <v>591</v>
      </c>
      <c r="J13" s="236" t="s">
        <v>565</v>
      </c>
      <c r="K13" s="230" t="b">
        <v>0</v>
      </c>
      <c r="L13" s="230" t="b">
        <v>1</v>
      </c>
      <c r="M13" s="230" t="b">
        <v>0</v>
      </c>
      <c r="N13" s="230">
        <v>64</v>
      </c>
      <c r="O13" s="236" t="s">
        <v>431</v>
      </c>
      <c r="P13" s="230" t="s">
        <v>417</v>
      </c>
      <c r="Q13" s="230" t="s">
        <v>418</v>
      </c>
    </row>
    <row r="14" spans="1:17">
      <c r="A14" s="229"/>
      <c r="B14" s="230" t="str">
        <f t="shared" si="1"/>
        <v>WorkflowStepDefProcessHandler</v>
      </c>
      <c r="C14" s="229" t="s">
        <v>367</v>
      </c>
      <c r="D14" s="231" t="s">
        <v>603</v>
      </c>
      <c r="E14" s="231" t="str">
        <f t="shared" si="2"/>
        <v>处理器</v>
      </c>
      <c r="F14" s="230" t="b">
        <v>1</v>
      </c>
      <c r="G14" s="304" t="s">
        <v>415</v>
      </c>
      <c r="H14" s="304" t="s">
        <v>416</v>
      </c>
      <c r="I14" s="229" t="s">
        <v>596</v>
      </c>
      <c r="J14" s="229"/>
      <c r="K14" s="230" t="b">
        <v>1</v>
      </c>
      <c r="L14" s="230" t="b">
        <v>1</v>
      </c>
      <c r="M14" s="230" t="b">
        <v>0</v>
      </c>
      <c r="N14" s="229"/>
      <c r="O14" s="230" t="s">
        <v>368</v>
      </c>
      <c r="P14" s="230" t="s">
        <v>417</v>
      </c>
      <c r="Q14" s="230" t="s">
        <v>418</v>
      </c>
    </row>
    <row r="15" spans="1:17">
      <c r="A15" s="229"/>
      <c r="B15" s="230" t="str">
        <f t="shared" si="1"/>
        <v>WorkflowStepDefMaxAllowLine</v>
      </c>
      <c r="C15" s="236" t="s">
        <v>406</v>
      </c>
      <c r="D15" s="238" t="s">
        <v>604</v>
      </c>
      <c r="E15" s="231" t="str">
        <f t="shared" si="2"/>
        <v>步骤定义允许的最大连接线</v>
      </c>
      <c r="F15" s="230" t="b">
        <v>1</v>
      </c>
      <c r="G15" s="304" t="s">
        <v>415</v>
      </c>
      <c r="H15" s="304" t="s">
        <v>416</v>
      </c>
      <c r="I15" s="229" t="s">
        <v>586</v>
      </c>
      <c r="J15" s="229"/>
      <c r="K15" s="230" t="b">
        <v>1</v>
      </c>
      <c r="L15" s="230" t="b">
        <v>1</v>
      </c>
      <c r="M15" s="230" t="b">
        <v>0</v>
      </c>
      <c r="N15" s="229"/>
      <c r="O15" s="230" t="s">
        <v>368</v>
      </c>
      <c r="P15" s="230" t="s">
        <v>417</v>
      </c>
      <c r="Q15" s="230" t="s">
        <v>418</v>
      </c>
    </row>
    <row r="16" spans="1:17">
      <c r="A16" s="229"/>
      <c r="B16" s="230" t="str">
        <f t="shared" si="1"/>
        <v>WorkflowItemStatus</v>
      </c>
      <c r="C16" s="229" t="s">
        <v>605</v>
      </c>
      <c r="D16" s="231" t="s">
        <v>468</v>
      </c>
      <c r="E16" s="231" t="str">
        <f t="shared" si="2"/>
        <v>工作流状态</v>
      </c>
      <c r="F16" s="230" t="b">
        <v>1</v>
      </c>
      <c r="G16" s="304" t="s">
        <v>415</v>
      </c>
      <c r="H16" s="304" t="s">
        <v>416</v>
      </c>
      <c r="I16" s="229" t="s">
        <v>596</v>
      </c>
      <c r="J16" s="229"/>
      <c r="K16" s="230" t="b">
        <v>0</v>
      </c>
      <c r="L16" s="230" t="b">
        <v>1</v>
      </c>
      <c r="M16" s="230" t="b">
        <v>0</v>
      </c>
      <c r="N16" s="229">
        <v>128</v>
      </c>
      <c r="O16" s="229" t="s">
        <v>427</v>
      </c>
      <c r="P16" s="230" t="s">
        <v>417</v>
      </c>
      <c r="Q16" s="230" t="s">
        <v>418</v>
      </c>
    </row>
    <row r="17" spans="1:17">
      <c r="A17" s="229"/>
      <c r="B17" s="230" t="str">
        <f t="shared" si="1"/>
        <v>WorkflowItemActiveWorkflowCount</v>
      </c>
      <c r="C17" s="236" t="s">
        <v>606</v>
      </c>
      <c r="D17" s="238" t="s">
        <v>607</v>
      </c>
      <c r="E17" s="231" t="str">
        <f t="shared" si="2"/>
        <v>活动工作流的个数</v>
      </c>
      <c r="F17" s="230" t="b">
        <v>1</v>
      </c>
      <c r="G17" s="304" t="s">
        <v>415</v>
      </c>
      <c r="H17" s="304" t="s">
        <v>416</v>
      </c>
      <c r="I17" s="229" t="s">
        <v>586</v>
      </c>
      <c r="J17" s="229"/>
      <c r="K17" s="230" t="b">
        <v>0</v>
      </c>
      <c r="L17" s="230" t="b">
        <v>1</v>
      </c>
      <c r="M17" s="230" t="b">
        <v>0</v>
      </c>
      <c r="N17" s="229"/>
      <c r="O17" s="229" t="s">
        <v>427</v>
      </c>
      <c r="P17" s="230" t="s">
        <v>417</v>
      </c>
      <c r="Q17" s="230" t="s">
        <v>418</v>
      </c>
    </row>
    <row r="18" spans="1:17">
      <c r="A18" s="229"/>
      <c r="B18" s="230" t="str">
        <f t="shared" si="1"/>
        <v>WorkflowItemWorkflowTotalCount</v>
      </c>
      <c r="C18" s="236" t="s">
        <v>608</v>
      </c>
      <c r="D18" s="238" t="s">
        <v>609</v>
      </c>
      <c r="E18" s="231" t="str">
        <f t="shared" si="2"/>
        <v>工作流总数</v>
      </c>
      <c r="F18" s="230" t="b">
        <v>1</v>
      </c>
      <c r="G18" s="304" t="s">
        <v>415</v>
      </c>
      <c r="H18" s="304" t="s">
        <v>416</v>
      </c>
      <c r="I18" s="229" t="s">
        <v>586</v>
      </c>
      <c r="J18" s="229"/>
      <c r="K18" s="230" t="b">
        <v>0</v>
      </c>
      <c r="L18" s="230" t="b">
        <v>1</v>
      </c>
      <c r="M18" s="230" t="b">
        <v>0</v>
      </c>
      <c r="N18" s="229"/>
      <c r="O18" s="229" t="s">
        <v>427</v>
      </c>
      <c r="P18" s="230" t="s">
        <v>417</v>
      </c>
      <c r="Q18" s="230" t="s">
        <v>418</v>
      </c>
    </row>
    <row r="19" spans="1:17" s="221" customFormat="1">
      <c r="B19" s="239" t="str">
        <f t="shared" si="1"/>
        <v>WorkflowStatus</v>
      </c>
      <c r="C19" s="239" t="s">
        <v>467</v>
      </c>
      <c r="D19" s="240" t="s">
        <v>602</v>
      </c>
      <c r="E19" s="231" t="str">
        <f t="shared" si="2"/>
        <v>状态</v>
      </c>
      <c r="F19" s="239" t="b">
        <v>1</v>
      </c>
      <c r="G19" s="306" t="s">
        <v>415</v>
      </c>
      <c r="H19" s="306" t="s">
        <v>416</v>
      </c>
      <c r="I19" s="239" t="s">
        <v>591</v>
      </c>
      <c r="J19" s="239" t="s">
        <v>551</v>
      </c>
      <c r="K19" s="239" t="b">
        <v>0</v>
      </c>
      <c r="L19" s="239" t="b">
        <v>1</v>
      </c>
      <c r="M19" s="239" t="b">
        <v>0</v>
      </c>
      <c r="N19" s="239">
        <v>64</v>
      </c>
      <c r="O19" s="239" t="s">
        <v>421</v>
      </c>
      <c r="P19" s="239" t="s">
        <v>417</v>
      </c>
      <c r="Q19" s="239" t="s">
        <v>418</v>
      </c>
    </row>
    <row r="20" spans="1:17" s="221" customFormat="1">
      <c r="B20" s="239" t="str">
        <f t="shared" ref="B20:B34" si="3">C20</f>
        <v>WorkflowMessage</v>
      </c>
      <c r="C20" s="239" t="s">
        <v>610</v>
      </c>
      <c r="D20" s="240" t="s">
        <v>611</v>
      </c>
      <c r="E20" s="231" t="str">
        <f t="shared" si="2"/>
        <v>过程信息</v>
      </c>
      <c r="F20" s="239" t="b">
        <v>1</v>
      </c>
      <c r="G20" s="306" t="s">
        <v>415</v>
      </c>
      <c r="H20" s="306" t="s">
        <v>416</v>
      </c>
      <c r="I20" s="249" t="s">
        <v>596</v>
      </c>
      <c r="J20" s="239"/>
      <c r="K20" s="239" t="b">
        <v>0</v>
      </c>
      <c r="L20" s="239" t="b">
        <v>1</v>
      </c>
      <c r="M20" s="239" t="b">
        <v>0</v>
      </c>
      <c r="N20" s="239">
        <v>1024</v>
      </c>
      <c r="O20" s="239" t="s">
        <v>421</v>
      </c>
      <c r="P20" s="239" t="s">
        <v>417</v>
      </c>
      <c r="Q20" s="239" t="s">
        <v>418</v>
      </c>
    </row>
    <row r="21" spans="1:17" s="221" customFormat="1">
      <c r="B21" s="239" t="str">
        <f t="shared" si="3"/>
        <v>WorkflowRemark</v>
      </c>
      <c r="C21" s="239" t="s">
        <v>612</v>
      </c>
      <c r="D21" s="240" t="s">
        <v>613</v>
      </c>
      <c r="E21" s="231" t="str">
        <f t="shared" si="2"/>
        <v>备注信息</v>
      </c>
      <c r="F21" s="239" t="b">
        <v>1</v>
      </c>
      <c r="G21" s="306" t="s">
        <v>415</v>
      </c>
      <c r="H21" s="306" t="s">
        <v>416</v>
      </c>
      <c r="I21" s="249" t="s">
        <v>596</v>
      </c>
      <c r="J21" s="239"/>
      <c r="K21" s="239" t="b">
        <v>0</v>
      </c>
      <c r="L21" s="239" t="b">
        <v>1</v>
      </c>
      <c r="M21" s="239" t="b">
        <v>0</v>
      </c>
      <c r="N21" s="239">
        <v>1024</v>
      </c>
      <c r="O21" s="239" t="s">
        <v>421</v>
      </c>
      <c r="P21" s="239" t="s">
        <v>417</v>
      </c>
      <c r="Q21" s="239" t="s">
        <v>418</v>
      </c>
    </row>
    <row r="22" spans="1:17" s="221" customFormat="1">
      <c r="B22" s="239" t="str">
        <f t="shared" si="3"/>
        <v>WorkflowErrorMsg</v>
      </c>
      <c r="C22" s="239" t="s">
        <v>614</v>
      </c>
      <c r="D22" s="240" t="s">
        <v>615</v>
      </c>
      <c r="E22" s="231" t="str">
        <f t="shared" si="2"/>
        <v>错误信息</v>
      </c>
      <c r="F22" s="239" t="b">
        <v>1</v>
      </c>
      <c r="G22" s="306" t="s">
        <v>415</v>
      </c>
      <c r="H22" s="306" t="s">
        <v>416</v>
      </c>
      <c r="I22" s="249" t="s">
        <v>596</v>
      </c>
      <c r="J22" s="239"/>
      <c r="K22" s="239" t="b">
        <v>0</v>
      </c>
      <c r="L22" s="239" t="b">
        <v>1</v>
      </c>
      <c r="M22" s="239" t="b">
        <v>0</v>
      </c>
      <c r="N22" s="239">
        <v>1024</v>
      </c>
      <c r="O22" s="239" t="s">
        <v>421</v>
      </c>
      <c r="P22" s="239" t="s">
        <v>417</v>
      </c>
      <c r="Q22" s="239" t="s">
        <v>418</v>
      </c>
    </row>
    <row r="23" spans="1:17" s="221" customFormat="1">
      <c r="B23" s="239" t="str">
        <f t="shared" si="3"/>
        <v>WorkflowDetailStatus</v>
      </c>
      <c r="C23" s="239" t="s">
        <v>616</v>
      </c>
      <c r="D23" s="240" t="s">
        <v>617</v>
      </c>
      <c r="E23" s="231" t="str">
        <f t="shared" ref="E23:E28" si="4">D23</f>
        <v>详细状态</v>
      </c>
      <c r="F23" s="239" t="b">
        <v>1</v>
      </c>
      <c r="G23" s="306" t="s">
        <v>415</v>
      </c>
      <c r="H23" s="306" t="s">
        <v>416</v>
      </c>
      <c r="I23" s="249" t="s">
        <v>596</v>
      </c>
      <c r="J23" s="239"/>
      <c r="K23" s="239" t="b">
        <v>0</v>
      </c>
      <c r="L23" s="239" t="b">
        <v>1</v>
      </c>
      <c r="M23" s="239" t="b">
        <v>0</v>
      </c>
      <c r="N23" s="239">
        <v>1024</v>
      </c>
      <c r="O23" s="239" t="s">
        <v>421</v>
      </c>
      <c r="P23" s="239" t="s">
        <v>417</v>
      </c>
      <c r="Q23" s="239" t="s">
        <v>418</v>
      </c>
    </row>
    <row r="24" spans="1:17" s="221" customFormat="1">
      <c r="B24" s="239" t="str">
        <f t="shared" si="3"/>
        <v>TemplateFrontInfo</v>
      </c>
      <c r="C24" s="221" t="s">
        <v>371</v>
      </c>
      <c r="D24" s="241" t="s">
        <v>370</v>
      </c>
      <c r="E24" s="231" t="str">
        <f t="shared" si="4"/>
        <v>前端模板信息</v>
      </c>
      <c r="F24" s="239" t="b">
        <v>1</v>
      </c>
      <c r="G24" s="306" t="s">
        <v>415</v>
      </c>
      <c r="H24" s="306" t="s">
        <v>416</v>
      </c>
      <c r="I24" s="249" t="s">
        <v>618</v>
      </c>
      <c r="K24" s="239" t="b">
        <v>1</v>
      </c>
      <c r="L24" s="239" t="b">
        <v>1</v>
      </c>
      <c r="M24" s="239" t="b">
        <v>0</v>
      </c>
      <c r="O24" s="221" t="s">
        <v>372</v>
      </c>
      <c r="P24" s="239" t="s">
        <v>417</v>
      </c>
      <c r="Q24" s="239" t="s">
        <v>418</v>
      </c>
    </row>
    <row r="25" spans="1:17" s="221" customFormat="1">
      <c r="B25" s="239" t="str">
        <f t="shared" si="3"/>
        <v>EffectiveInterface</v>
      </c>
      <c r="C25" s="221" t="s">
        <v>619</v>
      </c>
      <c r="D25" s="241" t="s">
        <v>620</v>
      </c>
      <c r="E25" s="231" t="str">
        <f t="shared" si="4"/>
        <v>生效的接口信息</v>
      </c>
      <c r="F25" s="239" t="b">
        <v>1</v>
      </c>
      <c r="G25" s="306" t="s">
        <v>415</v>
      </c>
      <c r="H25" s="306" t="s">
        <v>416</v>
      </c>
      <c r="I25" s="249" t="s">
        <v>596</v>
      </c>
      <c r="K25" s="239" t="b">
        <v>0</v>
      </c>
      <c r="L25" s="239" t="b">
        <v>1</v>
      </c>
      <c r="M25" s="239" t="b">
        <v>0</v>
      </c>
      <c r="N25" s="221">
        <v>512</v>
      </c>
      <c r="O25" s="221" t="s">
        <v>372</v>
      </c>
      <c r="P25" s="239" t="s">
        <v>417</v>
      </c>
      <c r="Q25" s="239" t="s">
        <v>418</v>
      </c>
    </row>
    <row r="26" spans="1:17">
      <c r="A26" s="242"/>
      <c r="B26" s="222" t="str">
        <f t="shared" si="3"/>
        <v>FrontStepId</v>
      </c>
      <c r="C26" s="222" t="s">
        <v>403</v>
      </c>
      <c r="D26" s="243" t="s">
        <v>621</v>
      </c>
      <c r="E26" s="231" t="str">
        <f t="shared" si="4"/>
        <v>前端步骤id</v>
      </c>
      <c r="F26" s="222" t="b">
        <v>1</v>
      </c>
      <c r="G26" s="307" t="s">
        <v>415</v>
      </c>
      <c r="H26" s="307" t="s">
        <v>416</v>
      </c>
      <c r="I26" s="222" t="s">
        <v>596</v>
      </c>
      <c r="K26" s="222" t="b">
        <v>1</v>
      </c>
      <c r="L26" s="222" t="b">
        <v>1</v>
      </c>
      <c r="M26" s="222" t="b">
        <v>0</v>
      </c>
      <c r="N26" s="222">
        <v>64</v>
      </c>
      <c r="O26" s="222" t="s">
        <v>404</v>
      </c>
      <c r="P26" s="222" t="s">
        <v>417</v>
      </c>
      <c r="Q26" s="222" t="s">
        <v>418</v>
      </c>
    </row>
    <row r="27" spans="1:17">
      <c r="A27" s="235"/>
      <c r="B27" s="230" t="str">
        <f t="shared" si="3"/>
        <v>WorkflowStepMsgFromPreviousStep</v>
      </c>
      <c r="C27" s="236" t="s">
        <v>622</v>
      </c>
      <c r="D27" s="238" t="s">
        <v>623</v>
      </c>
      <c r="E27" s="231" t="str">
        <f t="shared" si="4"/>
        <v>上一步消息</v>
      </c>
      <c r="F27" s="230" t="b">
        <v>1</v>
      </c>
      <c r="G27" s="304" t="s">
        <v>415</v>
      </c>
      <c r="H27" s="304" t="s">
        <v>416</v>
      </c>
      <c r="I27" s="229" t="s">
        <v>596</v>
      </c>
      <c r="J27" s="229"/>
      <c r="K27" s="230" t="b">
        <v>0</v>
      </c>
      <c r="L27" s="230" t="b">
        <v>1</v>
      </c>
      <c r="M27" s="230" t="b">
        <v>0</v>
      </c>
      <c r="N27" s="230">
        <v>1024</v>
      </c>
      <c r="O27" s="236" t="s">
        <v>431</v>
      </c>
      <c r="P27" s="230" t="s">
        <v>417</v>
      </c>
      <c r="Q27" s="230" t="s">
        <v>418</v>
      </c>
    </row>
    <row r="28" spans="1:17">
      <c r="A28" s="235"/>
      <c r="B28" s="230" t="str">
        <f t="shared" si="3"/>
        <v>WorkflowStepMsgToNextStep</v>
      </c>
      <c r="C28" s="236" t="s">
        <v>624</v>
      </c>
      <c r="D28" s="238" t="s">
        <v>625</v>
      </c>
      <c r="E28" s="231" t="str">
        <f t="shared" si="4"/>
        <v>给下一步的消息</v>
      </c>
      <c r="F28" s="230" t="b">
        <v>1</v>
      </c>
      <c r="G28" s="304" t="s">
        <v>415</v>
      </c>
      <c r="H28" s="304" t="s">
        <v>416</v>
      </c>
      <c r="I28" s="229" t="s">
        <v>596</v>
      </c>
      <c r="J28" s="229"/>
      <c r="K28" s="230" t="b">
        <v>0</v>
      </c>
      <c r="L28" s="230" t="b">
        <v>1</v>
      </c>
      <c r="M28" s="230" t="b">
        <v>0</v>
      </c>
      <c r="N28" s="230">
        <v>1024</v>
      </c>
      <c r="O28" s="236" t="s">
        <v>431</v>
      </c>
      <c r="P28" s="230" t="s">
        <v>417</v>
      </c>
      <c r="Q28" s="230" t="s">
        <v>418</v>
      </c>
    </row>
    <row r="29" spans="1:17">
      <c r="A29" s="235"/>
      <c r="B29" s="230" t="str">
        <f t="shared" si="3"/>
        <v>WorkflowStepComments</v>
      </c>
      <c r="C29" s="236" t="s">
        <v>626</v>
      </c>
      <c r="D29" s="238" t="s">
        <v>627</v>
      </c>
      <c r="E29" s="231" t="str">
        <f t="shared" ref="E29:E46" si="5">D29</f>
        <v>评论</v>
      </c>
      <c r="F29" s="230" t="b">
        <v>1</v>
      </c>
      <c r="G29" s="304" t="s">
        <v>415</v>
      </c>
      <c r="H29" s="304" t="s">
        <v>416</v>
      </c>
      <c r="I29" s="229" t="s">
        <v>628</v>
      </c>
      <c r="J29" s="229"/>
      <c r="K29" s="230" t="b">
        <v>0</v>
      </c>
      <c r="L29" s="230" t="b">
        <v>1</v>
      </c>
      <c r="M29" s="230" t="b">
        <v>0</v>
      </c>
      <c r="N29" s="230">
        <v>1024</v>
      </c>
      <c r="O29" s="233" t="s">
        <v>296</v>
      </c>
      <c r="P29" s="230" t="s">
        <v>417</v>
      </c>
      <c r="Q29" s="230" t="s">
        <v>418</v>
      </c>
    </row>
    <row r="30" spans="1:17">
      <c r="A30" s="244"/>
      <c r="B30" s="230" t="str">
        <f t="shared" si="3"/>
        <v>WorkflowStepClaimedInd</v>
      </c>
      <c r="C30" s="245" t="s">
        <v>629</v>
      </c>
      <c r="D30" s="246" t="s">
        <v>630</v>
      </c>
      <c r="E30" s="231" t="str">
        <f t="shared" si="5"/>
        <v>是否认领</v>
      </c>
      <c r="F30" s="247" t="b">
        <v>1</v>
      </c>
      <c r="G30" s="304" t="s">
        <v>415</v>
      </c>
      <c r="H30" s="304" t="s">
        <v>416</v>
      </c>
      <c r="I30" s="229" t="s">
        <v>6</v>
      </c>
      <c r="J30" s="245"/>
      <c r="K30" s="247" t="b">
        <v>0</v>
      </c>
      <c r="L30" s="247" t="b">
        <v>1</v>
      </c>
      <c r="M30" s="247" t="b">
        <v>0</v>
      </c>
      <c r="N30" s="247"/>
      <c r="O30" s="245" t="s">
        <v>431</v>
      </c>
      <c r="P30" s="247" t="s">
        <v>417</v>
      </c>
      <c r="Q30" s="247" t="s">
        <v>418</v>
      </c>
    </row>
    <row r="31" spans="1:17">
      <c r="A31" s="244"/>
      <c r="B31" s="230" t="str">
        <f t="shared" si="3"/>
        <v>WorkflowStepGroupAssignInd</v>
      </c>
      <c r="C31" s="245" t="s">
        <v>631</v>
      </c>
      <c r="D31" s="246" t="s">
        <v>632</v>
      </c>
      <c r="E31" s="231" t="str">
        <f t="shared" si="5"/>
        <v>组参与标识</v>
      </c>
      <c r="F31" s="247" t="b">
        <v>1</v>
      </c>
      <c r="G31" s="304" t="s">
        <v>415</v>
      </c>
      <c r="H31" s="304" t="s">
        <v>416</v>
      </c>
      <c r="I31" s="229" t="s">
        <v>596</v>
      </c>
      <c r="J31" s="245"/>
      <c r="K31" s="247" t="b">
        <v>0</v>
      </c>
      <c r="L31" s="247" t="b">
        <v>1</v>
      </c>
      <c r="M31" s="247" t="b">
        <v>0</v>
      </c>
      <c r="N31" s="222">
        <v>64</v>
      </c>
      <c r="O31" s="233" t="s">
        <v>296</v>
      </c>
      <c r="P31" s="247" t="s">
        <v>417</v>
      </c>
      <c r="Q31" s="247" t="s">
        <v>418</v>
      </c>
    </row>
    <row r="32" spans="1:17">
      <c r="A32" s="244"/>
      <c r="B32" s="230" t="str">
        <f t="shared" si="3"/>
        <v>WorkflowStepParallelExpansionInd</v>
      </c>
      <c r="C32" s="245" t="s">
        <v>633</v>
      </c>
      <c r="D32" s="246" t="s">
        <v>634</v>
      </c>
      <c r="E32" s="231" t="str">
        <f t="shared" si="5"/>
        <v>并行标识</v>
      </c>
      <c r="F32" s="247" t="b">
        <v>1</v>
      </c>
      <c r="G32" s="304" t="s">
        <v>415</v>
      </c>
      <c r="H32" s="304" t="s">
        <v>416</v>
      </c>
      <c r="I32" s="229" t="s">
        <v>6</v>
      </c>
      <c r="J32" s="245"/>
      <c r="K32" s="247" t="b">
        <v>0</v>
      </c>
      <c r="L32" s="247" t="b">
        <v>1</v>
      </c>
      <c r="M32" s="247" t="b">
        <v>0</v>
      </c>
      <c r="N32" s="247"/>
      <c r="O32" s="233" t="s">
        <v>296</v>
      </c>
      <c r="P32" s="247" t="s">
        <v>417</v>
      </c>
      <c r="Q32" s="247" t="s">
        <v>418</v>
      </c>
    </row>
    <row r="33" spans="1:17" s="221" customFormat="1">
      <c r="A33" s="251"/>
      <c r="B33" s="239" t="str">
        <f t="shared" si="3"/>
        <v>WorkflowOnHoldInd</v>
      </c>
      <c r="C33" s="252" t="s">
        <v>635</v>
      </c>
      <c r="D33" s="253" t="s">
        <v>636</v>
      </c>
      <c r="E33" s="231" t="str">
        <f t="shared" si="5"/>
        <v>暂停标识</v>
      </c>
      <c r="F33" s="259" t="b">
        <v>1</v>
      </c>
      <c r="G33" s="306" t="s">
        <v>415</v>
      </c>
      <c r="H33" s="306" t="s">
        <v>416</v>
      </c>
      <c r="I33" s="249" t="s">
        <v>6</v>
      </c>
      <c r="J33" s="252"/>
      <c r="K33" s="259" t="b">
        <v>0</v>
      </c>
      <c r="L33" s="259" t="b">
        <v>1</v>
      </c>
      <c r="M33" s="259" t="b">
        <v>0</v>
      </c>
      <c r="N33" s="259"/>
      <c r="O33" s="259" t="s">
        <v>421</v>
      </c>
      <c r="P33" s="259" t="s">
        <v>417</v>
      </c>
      <c r="Q33" s="259" t="s">
        <v>418</v>
      </c>
    </row>
    <row r="34" spans="1:17" s="221" customFormat="1">
      <c r="A34" s="251"/>
      <c r="B34" s="239" t="str">
        <f t="shared" si="3"/>
        <v>WorkflowRev</v>
      </c>
      <c r="C34" s="252" t="s">
        <v>637</v>
      </c>
      <c r="D34" s="253" t="s">
        <v>638</v>
      </c>
      <c r="E34" s="231" t="str">
        <f t="shared" si="5"/>
        <v>工作流版本</v>
      </c>
      <c r="F34" s="259" t="b">
        <v>1</v>
      </c>
      <c r="G34" s="306" t="s">
        <v>415</v>
      </c>
      <c r="H34" s="306" t="s">
        <v>416</v>
      </c>
      <c r="I34" s="249" t="s">
        <v>586</v>
      </c>
      <c r="J34" s="252"/>
      <c r="K34" s="259" t="b">
        <v>0</v>
      </c>
      <c r="L34" s="259" t="b">
        <v>1</v>
      </c>
      <c r="M34" s="259" t="b">
        <v>0</v>
      </c>
      <c r="N34" s="259"/>
      <c r="O34" s="259" t="s">
        <v>421</v>
      </c>
      <c r="P34" s="259" t="s">
        <v>417</v>
      </c>
      <c r="Q34" s="259" t="s">
        <v>418</v>
      </c>
    </row>
    <row r="35" spans="1:17" s="221" customFormat="1">
      <c r="B35" s="239" t="str">
        <f t="shared" ref="B35:B50" si="6">C35</f>
        <v>WorkflowImportance</v>
      </c>
      <c r="C35" s="221" t="s">
        <v>389</v>
      </c>
      <c r="D35" s="254" t="s">
        <v>388</v>
      </c>
      <c r="E35" s="231" t="str">
        <f t="shared" si="5"/>
        <v>流程等级</v>
      </c>
      <c r="F35" s="259" t="b">
        <v>1</v>
      </c>
      <c r="G35" s="306" t="s">
        <v>415</v>
      </c>
      <c r="H35" s="306" t="s">
        <v>416</v>
      </c>
      <c r="I35" s="249" t="s">
        <v>591</v>
      </c>
      <c r="J35" s="221" t="s">
        <v>572</v>
      </c>
      <c r="K35" s="239" t="b">
        <v>1</v>
      </c>
      <c r="L35" s="259" t="b">
        <v>1</v>
      </c>
      <c r="M35" s="259" t="b">
        <v>0</v>
      </c>
      <c r="N35" s="221">
        <v>64</v>
      </c>
      <c r="O35" s="221" t="s">
        <v>390</v>
      </c>
      <c r="P35" s="259" t="s">
        <v>417</v>
      </c>
      <c r="Q35" s="259" t="s">
        <v>418</v>
      </c>
    </row>
    <row r="36" spans="1:17">
      <c r="B36" s="255" t="str">
        <f t="shared" si="6"/>
        <v>WorkflowStepLegendTextColor</v>
      </c>
      <c r="C36" s="255" t="s">
        <v>392</v>
      </c>
      <c r="D36" s="256" t="s">
        <v>391</v>
      </c>
      <c r="E36" s="231" t="str">
        <f t="shared" si="5"/>
        <v>步骤图例的文字颜色</v>
      </c>
      <c r="F36" s="255" t="b">
        <v>1</v>
      </c>
      <c r="G36" s="308" t="s">
        <v>415</v>
      </c>
      <c r="H36" s="308" t="s">
        <v>416</v>
      </c>
      <c r="I36" s="255" t="s">
        <v>596</v>
      </c>
      <c r="J36" s="255"/>
      <c r="K36" s="255" t="b">
        <v>0</v>
      </c>
      <c r="L36" s="255" t="b">
        <v>1</v>
      </c>
      <c r="M36" s="255" t="b">
        <v>0</v>
      </c>
      <c r="N36" s="255">
        <v>64</v>
      </c>
      <c r="O36" s="255" t="s">
        <v>393</v>
      </c>
      <c r="P36" s="255" t="s">
        <v>417</v>
      </c>
      <c r="Q36" s="255" t="s">
        <v>418</v>
      </c>
    </row>
    <row r="37" spans="1:17">
      <c r="B37" s="255" t="str">
        <f t="shared" si="6"/>
        <v>WorkflowStepLegendIcon</v>
      </c>
      <c r="C37" s="255" t="s">
        <v>395</v>
      </c>
      <c r="D37" s="256" t="s">
        <v>394</v>
      </c>
      <c r="E37" s="231" t="str">
        <f t="shared" si="5"/>
        <v>步骤图例的图标</v>
      </c>
      <c r="F37" s="255" t="b">
        <v>1</v>
      </c>
      <c r="G37" s="308" t="s">
        <v>415</v>
      </c>
      <c r="H37" s="308" t="s">
        <v>416</v>
      </c>
      <c r="I37" s="255" t="s">
        <v>596</v>
      </c>
      <c r="J37" s="255"/>
      <c r="K37" s="255" t="b">
        <v>0</v>
      </c>
      <c r="L37" s="255" t="b">
        <v>1</v>
      </c>
      <c r="M37" s="255" t="b">
        <v>0</v>
      </c>
      <c r="N37" s="255">
        <v>64</v>
      </c>
      <c r="O37" s="255" t="s">
        <v>393</v>
      </c>
      <c r="P37" s="255" t="s">
        <v>417</v>
      </c>
      <c r="Q37" s="255" t="s">
        <v>418</v>
      </c>
    </row>
    <row r="38" spans="1:17">
      <c r="B38" s="255" t="str">
        <f t="shared" si="6"/>
        <v>WorkflowStepLegendTitle</v>
      </c>
      <c r="C38" s="255" t="s">
        <v>397</v>
      </c>
      <c r="D38" s="256" t="s">
        <v>396</v>
      </c>
      <c r="E38" s="231" t="str">
        <f t="shared" si="5"/>
        <v>步骤图例的标题</v>
      </c>
      <c r="F38" s="255" t="b">
        <v>1</v>
      </c>
      <c r="G38" s="308" t="s">
        <v>415</v>
      </c>
      <c r="H38" s="308" t="s">
        <v>416</v>
      </c>
      <c r="I38" s="255" t="s">
        <v>596</v>
      </c>
      <c r="J38" s="255"/>
      <c r="K38" s="255" t="b">
        <v>0</v>
      </c>
      <c r="L38" s="255" t="b">
        <v>1</v>
      </c>
      <c r="M38" s="255" t="b">
        <v>0</v>
      </c>
      <c r="N38" s="255">
        <v>64</v>
      </c>
      <c r="O38" s="255" t="s">
        <v>393</v>
      </c>
      <c r="P38" s="255" t="s">
        <v>417</v>
      </c>
      <c r="Q38" s="255" t="s">
        <v>418</v>
      </c>
    </row>
    <row r="39" spans="1:17">
      <c r="B39" s="255" t="str">
        <f t="shared" si="6"/>
        <v>WorkflowStepLegendBackgroundColor</v>
      </c>
      <c r="C39" s="255" t="s">
        <v>399</v>
      </c>
      <c r="D39" s="256" t="s">
        <v>398</v>
      </c>
      <c r="E39" s="231" t="str">
        <f t="shared" si="5"/>
        <v>步骤图例的背景色</v>
      </c>
      <c r="F39" s="255" t="b">
        <v>1</v>
      </c>
      <c r="G39" s="308" t="s">
        <v>415</v>
      </c>
      <c r="H39" s="308" t="s">
        <v>416</v>
      </c>
      <c r="I39" s="255" t="s">
        <v>596</v>
      </c>
      <c r="J39" s="255"/>
      <c r="K39" s="255" t="b">
        <v>0</v>
      </c>
      <c r="L39" s="255" t="b">
        <v>1</v>
      </c>
      <c r="M39" s="255" t="b">
        <v>0</v>
      </c>
      <c r="N39" s="255">
        <v>64</v>
      </c>
      <c r="O39" s="255" t="s">
        <v>393</v>
      </c>
      <c r="P39" s="255" t="s">
        <v>417</v>
      </c>
      <c r="Q39" s="255" t="s">
        <v>418</v>
      </c>
    </row>
    <row r="40" spans="1:17">
      <c r="A40" s="235"/>
      <c r="B40" s="230" t="str">
        <f t="shared" si="6"/>
        <v>WorkflowStepAcceptPercentage</v>
      </c>
      <c r="C40" s="236" t="s">
        <v>639</v>
      </c>
      <c r="D40" s="238" t="s">
        <v>640</v>
      </c>
      <c r="E40" s="231" t="str">
        <f t="shared" si="5"/>
        <v>步骤通过百分比</v>
      </c>
      <c r="F40" s="230" t="b">
        <v>1</v>
      </c>
      <c r="G40" s="304" t="s">
        <v>415</v>
      </c>
      <c r="H40" s="304" t="s">
        <v>416</v>
      </c>
      <c r="I40" s="229" t="s">
        <v>588</v>
      </c>
      <c r="J40" s="229"/>
      <c r="K40" s="230" t="b">
        <v>0</v>
      </c>
      <c r="L40" s="230" t="b">
        <v>1</v>
      </c>
      <c r="M40" s="230" t="b">
        <v>0</v>
      </c>
      <c r="N40" s="230"/>
      <c r="O40" s="233" t="s">
        <v>296</v>
      </c>
      <c r="P40" s="230" t="s">
        <v>417</v>
      </c>
      <c r="Q40" s="230" t="s">
        <v>418</v>
      </c>
    </row>
    <row r="41" spans="1:17">
      <c r="A41" s="235"/>
      <c r="B41" s="230" t="str">
        <f t="shared" si="6"/>
        <v>WorkflowStepRejectPercentage</v>
      </c>
      <c r="C41" s="236" t="s">
        <v>641</v>
      </c>
      <c r="D41" s="238" t="s">
        <v>642</v>
      </c>
      <c r="E41" s="231" t="str">
        <f t="shared" si="5"/>
        <v>步骤拒绝百分比</v>
      </c>
      <c r="F41" s="230" t="b">
        <v>1</v>
      </c>
      <c r="G41" s="304" t="s">
        <v>415</v>
      </c>
      <c r="H41" s="304" t="s">
        <v>416</v>
      </c>
      <c r="I41" s="229" t="s">
        <v>588</v>
      </c>
      <c r="J41" s="229"/>
      <c r="K41" s="230" t="b">
        <v>0</v>
      </c>
      <c r="L41" s="230" t="b">
        <v>1</v>
      </c>
      <c r="M41" s="230" t="b">
        <v>0</v>
      </c>
      <c r="N41" s="230"/>
      <c r="O41" s="233" t="s">
        <v>296</v>
      </c>
      <c r="P41" s="230" t="s">
        <v>417</v>
      </c>
      <c r="Q41" s="230" t="s">
        <v>418</v>
      </c>
    </row>
    <row r="42" spans="1:17" s="221" customFormat="1">
      <c r="B42" s="239" t="str">
        <f t="shared" si="6"/>
        <v>WorkflowPercentage</v>
      </c>
      <c r="C42" s="257" t="s">
        <v>643</v>
      </c>
      <c r="D42" s="258" t="s">
        <v>644</v>
      </c>
      <c r="E42" s="231" t="str">
        <f t="shared" si="5"/>
        <v>工作流完成百分比</v>
      </c>
      <c r="F42" s="239" t="b">
        <v>1</v>
      </c>
      <c r="G42" s="306" t="s">
        <v>415</v>
      </c>
      <c r="H42" s="306" t="s">
        <v>416</v>
      </c>
      <c r="I42" s="249" t="s">
        <v>586</v>
      </c>
      <c r="J42" s="249"/>
      <c r="K42" s="239" t="b">
        <v>0</v>
      </c>
      <c r="L42" s="239" t="b">
        <v>1</v>
      </c>
      <c r="M42" s="239" t="b">
        <v>0</v>
      </c>
      <c r="N42" s="239"/>
      <c r="O42" s="259" t="s">
        <v>421</v>
      </c>
      <c r="P42" s="239" t="s">
        <v>417</v>
      </c>
      <c r="Q42" s="239" t="s">
        <v>418</v>
      </c>
    </row>
    <row r="43" spans="1:17">
      <c r="B43" s="239" t="str">
        <f t="shared" si="6"/>
        <v>End1WorkflowObjectStepStatus</v>
      </c>
      <c r="C43" s="242" t="s">
        <v>645</v>
      </c>
      <c r="D43" s="243" t="s">
        <v>646</v>
      </c>
      <c r="E43" s="231" t="str">
        <f t="shared" si="5"/>
        <v>工作流步骤处理状态</v>
      </c>
      <c r="F43" s="222" t="b">
        <v>1</v>
      </c>
      <c r="G43" s="307" t="s">
        <v>415</v>
      </c>
      <c r="H43" s="307" t="s">
        <v>416</v>
      </c>
      <c r="I43" s="229" t="s">
        <v>591</v>
      </c>
      <c r="J43" s="222" t="s">
        <v>565</v>
      </c>
      <c r="K43" s="239" t="b">
        <v>0</v>
      </c>
      <c r="L43" s="239" t="b">
        <v>1</v>
      </c>
      <c r="M43" s="239" t="b">
        <v>0</v>
      </c>
      <c r="O43" s="242" t="s">
        <v>456</v>
      </c>
      <c r="P43" s="239" t="s">
        <v>417</v>
      </c>
      <c r="Q43" s="239" t="s">
        <v>418</v>
      </c>
    </row>
    <row r="44" spans="1:17">
      <c r="B44" s="230" t="str">
        <f t="shared" si="6"/>
        <v>WorkflowStepParallelMode</v>
      </c>
      <c r="C44" s="242" t="s">
        <v>647</v>
      </c>
      <c r="D44" s="243" t="s">
        <v>648</v>
      </c>
      <c r="E44" s="231" t="str">
        <f t="shared" si="5"/>
        <v>并行步骤的模式</v>
      </c>
      <c r="F44" s="230" t="b">
        <v>1</v>
      </c>
      <c r="G44" s="304" t="s">
        <v>415</v>
      </c>
      <c r="H44" s="304" t="s">
        <v>416</v>
      </c>
      <c r="I44" s="229" t="s">
        <v>596</v>
      </c>
      <c r="J44" s="229"/>
      <c r="K44" s="230" t="b">
        <v>0</v>
      </c>
      <c r="L44" s="230" t="b">
        <v>1</v>
      </c>
      <c r="M44" s="230" t="b">
        <v>0</v>
      </c>
      <c r="N44" s="230">
        <v>128</v>
      </c>
      <c r="O44" s="242" t="s">
        <v>296</v>
      </c>
      <c r="P44" s="230" t="s">
        <v>417</v>
      </c>
      <c r="Q44" s="230" t="s">
        <v>418</v>
      </c>
    </row>
    <row r="45" spans="1:17">
      <c r="B45" s="239" t="str">
        <f t="shared" si="6"/>
        <v>WorkflowStepOnHoldInd</v>
      </c>
      <c r="C45" s="242" t="s">
        <v>649</v>
      </c>
      <c r="D45" s="243" t="s">
        <v>650</v>
      </c>
      <c r="E45" s="231" t="str">
        <f t="shared" si="5"/>
        <v>工作步骤挂起标识</v>
      </c>
      <c r="F45" s="255" t="b">
        <v>1</v>
      </c>
      <c r="G45" s="308" t="s">
        <v>415</v>
      </c>
      <c r="H45" s="308" t="s">
        <v>416</v>
      </c>
      <c r="I45" s="249" t="s">
        <v>6</v>
      </c>
      <c r="K45" s="230" t="b">
        <v>0</v>
      </c>
      <c r="L45" s="230" t="b">
        <v>1</v>
      </c>
      <c r="M45" s="230" t="b">
        <v>0</v>
      </c>
      <c r="O45" s="236" t="s">
        <v>431</v>
      </c>
      <c r="P45" s="230" t="s">
        <v>417</v>
      </c>
      <c r="Q45" s="230" t="s">
        <v>418</v>
      </c>
    </row>
    <row r="46" spans="1:17">
      <c r="B46" s="239" t="str">
        <f t="shared" si="6"/>
        <v>WorkflowRecipientGroupInd</v>
      </c>
      <c r="C46" s="242" t="s">
        <v>651</v>
      </c>
      <c r="D46" s="243" t="s">
        <v>652</v>
      </c>
      <c r="E46" s="231" t="str">
        <f t="shared" si="5"/>
        <v>参与人组标识</v>
      </c>
      <c r="F46" s="255" t="b">
        <v>1</v>
      </c>
      <c r="G46" s="308" t="s">
        <v>415</v>
      </c>
      <c r="H46" s="308" t="s">
        <v>416</v>
      </c>
      <c r="I46" s="255" t="s">
        <v>596</v>
      </c>
      <c r="K46" s="239" t="b">
        <v>0</v>
      </c>
      <c r="L46" s="239" t="b">
        <v>1</v>
      </c>
      <c r="M46" s="239" t="b">
        <v>0</v>
      </c>
      <c r="N46" s="222">
        <v>256</v>
      </c>
      <c r="O46" s="242" t="s">
        <v>460</v>
      </c>
      <c r="P46" s="230" t="s">
        <v>417</v>
      </c>
      <c r="Q46" s="230" t="s">
        <v>418</v>
      </c>
    </row>
    <row r="47" spans="1:17">
      <c r="B47" s="239" t="str">
        <f t="shared" si="6"/>
        <v>WorkflowRecipientEffectParticipantInfo</v>
      </c>
      <c r="C47" s="242" t="s">
        <v>653</v>
      </c>
      <c r="D47" s="243" t="s">
        <v>654</v>
      </c>
      <c r="E47" s="243" t="s">
        <v>654</v>
      </c>
      <c r="F47" s="255" t="b">
        <v>1</v>
      </c>
      <c r="G47" s="308" t="s">
        <v>415</v>
      </c>
      <c r="H47" s="308" t="s">
        <v>416</v>
      </c>
      <c r="I47" s="255" t="s">
        <v>596</v>
      </c>
      <c r="K47" s="239" t="b">
        <v>0</v>
      </c>
      <c r="L47" s="239" t="b">
        <v>1</v>
      </c>
      <c r="M47" s="239" t="b">
        <v>0</v>
      </c>
      <c r="N47" s="222">
        <v>512</v>
      </c>
      <c r="O47" s="242" t="s">
        <v>460</v>
      </c>
      <c r="P47" s="230" t="s">
        <v>417</v>
      </c>
      <c r="Q47" s="230" t="s">
        <v>418</v>
      </c>
    </row>
    <row r="48" spans="1:17">
      <c r="B48" s="239" t="str">
        <f t="shared" si="6"/>
        <v>WorkflowStepCurrentParticipantInfo</v>
      </c>
      <c r="C48" s="222" t="s">
        <v>655</v>
      </c>
      <c r="D48" s="243" t="s">
        <v>656</v>
      </c>
      <c r="E48" s="231" t="str">
        <f t="shared" ref="E48:E50" si="7">D48</f>
        <v>流程步骤当前的参与人信息</v>
      </c>
      <c r="F48" s="255" t="b">
        <v>1</v>
      </c>
      <c r="G48" s="308" t="s">
        <v>415</v>
      </c>
      <c r="H48" s="308" t="s">
        <v>416</v>
      </c>
      <c r="I48" s="255" t="s">
        <v>596</v>
      </c>
      <c r="K48" s="239" t="b">
        <v>0</v>
      </c>
      <c r="L48" s="239" t="b">
        <v>1</v>
      </c>
      <c r="M48" s="239" t="b">
        <v>0</v>
      </c>
      <c r="N48" s="222">
        <v>128</v>
      </c>
      <c r="O48" s="236" t="s">
        <v>431</v>
      </c>
      <c r="P48" s="230" t="s">
        <v>417</v>
      </c>
      <c r="Q48" s="230" t="s">
        <v>418</v>
      </c>
    </row>
    <row r="49" spans="2:17">
      <c r="B49" s="239" t="str">
        <f t="shared" si="6"/>
        <v>WorkflowPartGroupInd</v>
      </c>
      <c r="C49" s="242" t="s">
        <v>657</v>
      </c>
      <c r="D49" s="243" t="s">
        <v>658</v>
      </c>
      <c r="E49" s="231" t="str">
        <f t="shared" si="7"/>
        <v>流程块所属组信息</v>
      </c>
      <c r="F49" s="255" t="b">
        <v>1</v>
      </c>
      <c r="G49" s="308" t="s">
        <v>415</v>
      </c>
      <c r="H49" s="308" t="s">
        <v>416</v>
      </c>
      <c r="I49" s="255" t="s">
        <v>596</v>
      </c>
      <c r="K49" s="239" t="b">
        <v>0</v>
      </c>
      <c r="L49" s="239" t="b">
        <v>1</v>
      </c>
      <c r="M49" s="239" t="b">
        <v>0</v>
      </c>
      <c r="N49" s="222">
        <v>256</v>
      </c>
      <c r="O49" s="222" t="s">
        <v>413</v>
      </c>
      <c r="P49" s="230" t="s">
        <v>417</v>
      </c>
      <c r="Q49" s="230" t="s">
        <v>418</v>
      </c>
    </row>
    <row r="50" spans="2:17">
      <c r="B50" s="239" t="str">
        <f t="shared" si="6"/>
        <v>StepClassExecutionMode</v>
      </c>
      <c r="C50" s="242" t="s">
        <v>410</v>
      </c>
      <c r="D50" s="243" t="s">
        <v>659</v>
      </c>
      <c r="E50" s="231" t="str">
        <f t="shared" si="7"/>
        <v>步骤定义的执行方式</v>
      </c>
      <c r="F50" s="255" t="b">
        <v>1</v>
      </c>
      <c r="G50" s="308" t="s">
        <v>415</v>
      </c>
      <c r="H50" s="308" t="s">
        <v>416</v>
      </c>
      <c r="I50" s="255" t="s">
        <v>591</v>
      </c>
      <c r="J50" s="222" t="s">
        <v>581</v>
      </c>
      <c r="K50" s="239" t="b">
        <v>0</v>
      </c>
      <c r="L50" s="239" t="b">
        <v>1</v>
      </c>
      <c r="M50" s="239" t="b">
        <v>0</v>
      </c>
      <c r="N50" s="222">
        <v>128</v>
      </c>
      <c r="O50" s="242" t="s">
        <v>411</v>
      </c>
      <c r="P50" s="230" t="s">
        <v>417</v>
      </c>
      <c r="Q50" s="230" t="s">
        <v>418</v>
      </c>
    </row>
    <row r="51" spans="2:17">
      <c r="I51" s="229"/>
    </row>
    <row r="53" spans="2:17">
      <c r="F53" s="222" t="s">
        <v>660</v>
      </c>
    </row>
  </sheetData>
  <sheetProtection formatCells="0" insertHyperlinks="0" autoFilter="0"/>
  <autoFilter ref="A3:Q50">
    <sortState ref="A3:Q50">
      <sortCondition ref="O3"/>
    </sortState>
  </autoFilter>
  <mergeCells count="1">
    <mergeCell ref="A1:E1"/>
  </mergeCells>
  <conditionalFormatting sqref="B3">
    <cfRule type="duplicateValues" dxfId="28" priority="1"/>
  </conditionalFormatting>
  <conditionalFormatting sqref="B1:B2">
    <cfRule type="duplicateValues" dxfId="27" priority="3"/>
    <cfRule type="duplicateValues" dxfId="26" priority="2"/>
  </conditionalFormatting>
  <dataValidations count="1">
    <dataValidation type="list" allowBlank="1" showInputMessage="1" showErrorMessage="1" sqref="I4:I1048576">
      <formula1>"String,Double,Integer,Boolean,LongText,Json,EnumList,DateTime,Blob,RichText"</formula1>
    </dataValidation>
  </dataValidation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46"/>
  <sheetViews>
    <sheetView topLeftCell="G27" workbookViewId="0">
      <selection activeCell="C27" sqref="C27"/>
    </sheetView>
  </sheetViews>
  <sheetFormatPr defaultColWidth="9" defaultRowHeight="12"/>
  <cols>
    <col min="1" max="1" width="17.7109375" style="168" customWidth="1"/>
    <col min="2" max="2" width="28.42578125" style="168" customWidth="1"/>
    <col min="3" max="3" width="32.5703125" style="168" customWidth="1"/>
    <col min="4" max="5" width="22.140625" style="168" customWidth="1"/>
    <col min="6" max="6" width="8.5703125" style="168" customWidth="1"/>
    <col min="7" max="7" width="25.5703125" style="168" customWidth="1"/>
    <col min="8" max="8" width="8.85546875" style="168" customWidth="1"/>
    <col min="9" max="9" width="27" style="168" customWidth="1"/>
    <col min="10" max="10" width="25.140625" style="168" customWidth="1"/>
    <col min="11" max="12" width="4.85546875" style="168" customWidth="1"/>
    <col min="13" max="14" width="5.140625" style="168" customWidth="1"/>
    <col min="15" max="16" width="13.42578125" style="168" customWidth="1"/>
    <col min="17" max="17" width="28.28515625" style="168" customWidth="1"/>
    <col min="18" max="19" width="3.42578125" style="168" customWidth="1"/>
    <col min="20" max="21" width="9.140625" style="168" customWidth="1"/>
    <col min="22" max="22" width="8.85546875" style="168" customWidth="1"/>
    <col min="23" max="16384" width="9" style="168"/>
  </cols>
  <sheetData>
    <row r="1" spans="1:22">
      <c r="A1" s="322" t="s">
        <v>466</v>
      </c>
      <c r="B1" s="322"/>
      <c r="C1" s="322"/>
      <c r="D1" s="322"/>
      <c r="E1" s="322"/>
      <c r="F1" s="322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</row>
    <row r="2" spans="1:22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</row>
    <row r="3" spans="1:22">
      <c r="A3" s="215" t="s">
        <v>37</v>
      </c>
      <c r="B3" s="215" t="s">
        <v>43</v>
      </c>
      <c r="C3" s="127" t="s">
        <v>46</v>
      </c>
      <c r="D3" s="127" t="s">
        <v>50</v>
      </c>
      <c r="E3" s="127" t="s">
        <v>51</v>
      </c>
      <c r="F3" s="127" t="s">
        <v>61</v>
      </c>
      <c r="G3" s="127" t="s">
        <v>72</v>
      </c>
      <c r="H3" s="127" t="s">
        <v>74</v>
      </c>
      <c r="I3" s="127" t="s">
        <v>86</v>
      </c>
      <c r="J3" s="127" t="s">
        <v>88</v>
      </c>
      <c r="K3" s="127" t="s">
        <v>89</v>
      </c>
      <c r="L3" s="127" t="s">
        <v>90</v>
      </c>
      <c r="M3" s="127" t="s">
        <v>91</v>
      </c>
      <c r="N3" s="127" t="s">
        <v>92</v>
      </c>
      <c r="O3" s="127" t="s">
        <v>93</v>
      </c>
      <c r="P3" s="127" t="s">
        <v>94</v>
      </c>
      <c r="Q3" s="127" t="s">
        <v>112</v>
      </c>
      <c r="R3" s="127" t="s">
        <v>70</v>
      </c>
      <c r="S3" s="127" t="s">
        <v>71</v>
      </c>
      <c r="T3" s="127" t="s">
        <v>149</v>
      </c>
      <c r="U3" s="127" t="s">
        <v>150</v>
      </c>
      <c r="V3" s="215" t="s">
        <v>48</v>
      </c>
    </row>
    <row r="4" spans="1:22" s="213" customFormat="1">
      <c r="B4" s="216" t="str">
        <f>C4</f>
        <v>WorkflowNotificationType</v>
      </c>
      <c r="C4" s="217" t="s">
        <v>661</v>
      </c>
      <c r="D4" s="213" t="s">
        <v>662</v>
      </c>
      <c r="E4" s="217" t="str">
        <f t="shared" ref="E4:E39" si="0">D4</f>
        <v>通知类型</v>
      </c>
      <c r="F4" s="216" t="b">
        <v>1</v>
      </c>
      <c r="G4" s="216" t="s">
        <v>663</v>
      </c>
      <c r="H4" s="216" t="s">
        <v>664</v>
      </c>
      <c r="I4" s="216" t="s">
        <v>390</v>
      </c>
      <c r="J4" s="217" t="s">
        <v>425</v>
      </c>
      <c r="K4" s="216">
        <v>0</v>
      </c>
      <c r="L4" s="216">
        <v>0</v>
      </c>
      <c r="M4" s="217" t="s">
        <v>418</v>
      </c>
      <c r="N4" s="213">
        <v>1</v>
      </c>
      <c r="O4" s="216" t="s">
        <v>665</v>
      </c>
      <c r="P4" s="213" t="s">
        <v>666</v>
      </c>
      <c r="R4" s="303" t="s">
        <v>415</v>
      </c>
      <c r="S4" s="303" t="s">
        <v>416</v>
      </c>
      <c r="T4" s="216"/>
      <c r="U4" s="216"/>
      <c r="V4" s="216" t="s">
        <v>418</v>
      </c>
    </row>
    <row r="5" spans="1:22" s="213" customFormat="1">
      <c r="B5" s="216" t="str">
        <f>C5</f>
        <v>WorkflowConditionCompositions</v>
      </c>
      <c r="C5" s="217" t="s">
        <v>334</v>
      </c>
      <c r="D5" s="213" t="s">
        <v>667</v>
      </c>
      <c r="E5" s="217" t="str">
        <f t="shared" si="0"/>
        <v>模板条件</v>
      </c>
      <c r="F5" s="216" t="b">
        <v>1</v>
      </c>
      <c r="G5" s="216" t="s">
        <v>663</v>
      </c>
      <c r="H5" s="216" t="s">
        <v>664</v>
      </c>
      <c r="I5" s="216" t="s">
        <v>423</v>
      </c>
      <c r="J5" s="217" t="s">
        <v>668</v>
      </c>
      <c r="K5" s="216">
        <v>0</v>
      </c>
      <c r="L5" s="216">
        <v>0</v>
      </c>
      <c r="M5" s="217">
        <v>1</v>
      </c>
      <c r="N5" s="213" t="s">
        <v>418</v>
      </c>
      <c r="O5" s="216" t="s">
        <v>669</v>
      </c>
      <c r="P5" s="213" t="s">
        <v>665</v>
      </c>
      <c r="R5" s="303" t="s">
        <v>415</v>
      </c>
      <c r="S5" s="303" t="s">
        <v>416</v>
      </c>
      <c r="T5" s="216"/>
      <c r="U5" s="216"/>
      <c r="V5" s="216" t="s">
        <v>418</v>
      </c>
    </row>
    <row r="6" spans="1:22" s="213" customFormat="1">
      <c r="B6" s="216" t="str">
        <f>C6</f>
        <v>WorkflowSteps</v>
      </c>
      <c r="C6" s="217" t="s">
        <v>670</v>
      </c>
      <c r="D6" s="213" t="s">
        <v>671</v>
      </c>
      <c r="E6" s="217" t="str">
        <f t="shared" si="0"/>
        <v>模板步骤</v>
      </c>
      <c r="F6" s="216" t="b">
        <v>1</v>
      </c>
      <c r="G6" s="216" t="s">
        <v>672</v>
      </c>
      <c r="H6" s="216" t="s">
        <v>664</v>
      </c>
      <c r="I6" s="216" t="s">
        <v>390</v>
      </c>
      <c r="J6" s="217" t="s">
        <v>413</v>
      </c>
      <c r="K6" s="216">
        <v>0</v>
      </c>
      <c r="L6" s="216">
        <v>0</v>
      </c>
      <c r="M6" s="217">
        <v>1</v>
      </c>
      <c r="N6" s="213" t="s">
        <v>418</v>
      </c>
      <c r="O6" s="216" t="s">
        <v>673</v>
      </c>
      <c r="P6" s="217" t="s">
        <v>674</v>
      </c>
      <c r="R6" s="303" t="s">
        <v>415</v>
      </c>
      <c r="S6" s="303" t="s">
        <v>416</v>
      </c>
      <c r="T6" s="216" t="b">
        <v>1</v>
      </c>
      <c r="U6" s="216"/>
      <c r="V6" s="216" t="s">
        <v>418</v>
      </c>
    </row>
    <row r="7" spans="1:22" s="213" customFormat="1">
      <c r="B7" s="216" t="str">
        <f>C7</f>
        <v>WorkflowStepChecklist</v>
      </c>
      <c r="C7" s="217" t="s">
        <v>675</v>
      </c>
      <c r="D7" s="213" t="s">
        <v>676</v>
      </c>
      <c r="E7" s="217" t="str">
        <f t="shared" si="0"/>
        <v>步骤检查列表</v>
      </c>
      <c r="F7" s="216" t="b">
        <v>1</v>
      </c>
      <c r="G7" s="216" t="s">
        <v>677</v>
      </c>
      <c r="H7" s="216" t="s">
        <v>664</v>
      </c>
      <c r="I7" s="216" t="s">
        <v>296</v>
      </c>
      <c r="J7" s="217" t="s">
        <v>437</v>
      </c>
      <c r="K7" s="216">
        <v>0</v>
      </c>
      <c r="L7" s="216">
        <v>0</v>
      </c>
      <c r="M7" s="217" t="s">
        <v>418</v>
      </c>
      <c r="N7" s="213">
        <v>1</v>
      </c>
      <c r="O7" s="216" t="s">
        <v>678</v>
      </c>
      <c r="P7" s="213" t="s">
        <v>679</v>
      </c>
      <c r="R7" s="303" t="s">
        <v>415</v>
      </c>
      <c r="S7" s="303" t="s">
        <v>416</v>
      </c>
      <c r="T7" s="216"/>
      <c r="U7" s="216"/>
      <c r="V7" s="216" t="s">
        <v>418</v>
      </c>
    </row>
    <row r="8" spans="1:22" s="213" customFormat="1">
      <c r="B8" s="216" t="str">
        <f>C8</f>
        <v>WorkflowStepChecklistItems</v>
      </c>
      <c r="C8" s="217" t="s">
        <v>680</v>
      </c>
      <c r="D8" s="213" t="s">
        <v>681</v>
      </c>
      <c r="E8" s="217" t="str">
        <f t="shared" si="0"/>
        <v>检查具体项</v>
      </c>
      <c r="F8" s="216" t="b">
        <v>1</v>
      </c>
      <c r="G8" s="216" t="s">
        <v>677</v>
      </c>
      <c r="H8" s="216" t="s">
        <v>664</v>
      </c>
      <c r="I8" s="216" t="s">
        <v>437</v>
      </c>
      <c r="J8" s="217" t="s">
        <v>443</v>
      </c>
      <c r="K8" s="216">
        <v>0</v>
      </c>
      <c r="L8" s="216">
        <v>0</v>
      </c>
      <c r="M8" s="217">
        <v>1</v>
      </c>
      <c r="N8" s="213" t="s">
        <v>418</v>
      </c>
      <c r="O8" s="216" t="s">
        <v>682</v>
      </c>
      <c r="P8" s="213" t="s">
        <v>683</v>
      </c>
      <c r="R8" s="303" t="s">
        <v>415</v>
      </c>
      <c r="S8" s="303" t="s">
        <v>416</v>
      </c>
      <c r="T8" s="216" t="b">
        <v>1</v>
      </c>
      <c r="U8" s="216"/>
      <c r="V8" s="216" t="s">
        <v>418</v>
      </c>
    </row>
    <row r="9" spans="1:22" s="213" customFormat="1">
      <c r="B9" s="216" t="str">
        <f t="shared" ref="B9:B20" si="1">C9</f>
        <v>WorkflowStepStepRecipients</v>
      </c>
      <c r="C9" s="217" t="s">
        <v>684</v>
      </c>
      <c r="D9" s="217" t="s">
        <v>685</v>
      </c>
      <c r="E9" s="217" t="str">
        <f t="shared" si="0"/>
        <v>步骤参与人</v>
      </c>
      <c r="F9" s="216" t="b">
        <v>1</v>
      </c>
      <c r="G9" s="216" t="s">
        <v>686</v>
      </c>
      <c r="H9" s="216" t="s">
        <v>664</v>
      </c>
      <c r="I9" s="216" t="s">
        <v>296</v>
      </c>
      <c r="J9" s="217" t="s">
        <v>460</v>
      </c>
      <c r="K9" s="216">
        <v>0</v>
      </c>
      <c r="L9" s="216">
        <v>0</v>
      </c>
      <c r="M9" s="217">
        <v>1</v>
      </c>
      <c r="N9" s="213" t="s">
        <v>418</v>
      </c>
      <c r="O9" s="216" t="s">
        <v>678</v>
      </c>
      <c r="P9" s="213" t="s">
        <v>687</v>
      </c>
      <c r="R9" s="303" t="s">
        <v>415</v>
      </c>
      <c r="S9" s="303" t="s">
        <v>416</v>
      </c>
      <c r="T9" s="216" t="b">
        <v>1</v>
      </c>
      <c r="U9" s="216"/>
      <c r="V9" s="216" t="s">
        <v>418</v>
      </c>
    </row>
    <row r="10" spans="1:22" s="213" customFormat="1">
      <c r="A10" s="216"/>
      <c r="B10" s="216" t="str">
        <f t="shared" si="1"/>
        <v>WorkflowStepStepDef</v>
      </c>
      <c r="C10" s="216" t="s">
        <v>324</v>
      </c>
      <c r="D10" s="216" t="s">
        <v>688</v>
      </c>
      <c r="E10" s="217" t="str">
        <f t="shared" si="0"/>
        <v>步骤使用的定义</v>
      </c>
      <c r="F10" s="216" t="b">
        <v>1</v>
      </c>
      <c r="G10" s="216" t="s">
        <v>672</v>
      </c>
      <c r="H10" s="216" t="s">
        <v>664</v>
      </c>
      <c r="I10" s="216" t="s">
        <v>296</v>
      </c>
      <c r="J10" s="216" t="s">
        <v>368</v>
      </c>
      <c r="K10" s="216">
        <v>0</v>
      </c>
      <c r="L10" s="216">
        <v>0</v>
      </c>
      <c r="M10" s="216" t="s">
        <v>418</v>
      </c>
      <c r="N10" s="216">
        <v>1</v>
      </c>
      <c r="O10" s="216" t="s">
        <v>678</v>
      </c>
      <c r="P10" s="216" t="s">
        <v>689</v>
      </c>
      <c r="Q10" s="216"/>
      <c r="R10" s="303" t="s">
        <v>415</v>
      </c>
      <c r="S10" s="303" t="s">
        <v>416</v>
      </c>
      <c r="T10" s="216"/>
      <c r="U10" s="216"/>
      <c r="V10" s="216" t="s">
        <v>418</v>
      </c>
    </row>
    <row r="11" spans="1:22" s="213" customFormat="1">
      <c r="A11" s="216"/>
      <c r="B11" s="216" t="str">
        <f t="shared" si="1"/>
        <v>WorkflowStepDefStepClass</v>
      </c>
      <c r="C11" s="216" t="s">
        <v>337</v>
      </c>
      <c r="D11" s="216" t="s">
        <v>690</v>
      </c>
      <c r="E11" s="217" t="str">
        <f t="shared" si="0"/>
        <v>步骤类型</v>
      </c>
      <c r="F11" s="216" t="b">
        <v>1</v>
      </c>
      <c r="G11" s="216" t="s">
        <v>691</v>
      </c>
      <c r="H11" s="216" t="s">
        <v>664</v>
      </c>
      <c r="I11" s="216" t="s">
        <v>368</v>
      </c>
      <c r="J11" s="216" t="s">
        <v>411</v>
      </c>
      <c r="K11" s="216">
        <v>0</v>
      </c>
      <c r="L11" s="216">
        <v>0</v>
      </c>
      <c r="M11" s="216">
        <v>1</v>
      </c>
      <c r="N11" s="216" t="s">
        <v>418</v>
      </c>
      <c r="O11" s="216" t="s">
        <v>689</v>
      </c>
      <c r="P11" s="216" t="s">
        <v>690</v>
      </c>
      <c r="Q11" s="216"/>
      <c r="R11" s="303" t="s">
        <v>415</v>
      </c>
      <c r="S11" s="303" t="s">
        <v>416</v>
      </c>
      <c r="T11" s="216"/>
      <c r="U11" s="216"/>
      <c r="V11" s="216" t="s">
        <v>418</v>
      </c>
    </row>
    <row r="12" spans="1:22" s="213" customFormat="1">
      <c r="A12" s="216"/>
      <c r="B12" s="216" t="str">
        <f t="shared" si="1"/>
        <v>WorkflowStepSuccessStep</v>
      </c>
      <c r="C12" s="216" t="s">
        <v>340</v>
      </c>
      <c r="D12" s="216" t="s">
        <v>692</v>
      </c>
      <c r="E12" s="217" t="str">
        <f t="shared" si="0"/>
        <v>同意步骤</v>
      </c>
      <c r="F12" s="216" t="b">
        <v>1</v>
      </c>
      <c r="G12" s="216" t="s">
        <v>672</v>
      </c>
      <c r="H12" s="216" t="s">
        <v>664</v>
      </c>
      <c r="I12" s="216" t="s">
        <v>413</v>
      </c>
      <c r="J12" s="216" t="s">
        <v>413</v>
      </c>
      <c r="K12" s="216">
        <v>0</v>
      </c>
      <c r="L12" s="216">
        <v>0</v>
      </c>
      <c r="M12" s="216" t="s">
        <v>418</v>
      </c>
      <c r="N12" s="216" t="s">
        <v>418</v>
      </c>
      <c r="O12" s="216" t="s">
        <v>678</v>
      </c>
      <c r="P12" s="216" t="s">
        <v>678</v>
      </c>
      <c r="Q12" s="216"/>
      <c r="R12" s="303" t="s">
        <v>415</v>
      </c>
      <c r="S12" s="303" t="s">
        <v>416</v>
      </c>
      <c r="T12" s="216"/>
      <c r="U12" s="216"/>
      <c r="V12" s="216" t="s">
        <v>418</v>
      </c>
    </row>
    <row r="13" spans="1:22" s="213" customFormat="1">
      <c r="A13" s="216"/>
      <c r="B13" s="216" t="str">
        <f t="shared" si="1"/>
        <v>WorkflowStepFailureStep</v>
      </c>
      <c r="C13" s="216" t="s">
        <v>343</v>
      </c>
      <c r="D13" s="216" t="s">
        <v>693</v>
      </c>
      <c r="E13" s="217" t="str">
        <f t="shared" si="0"/>
        <v>拒绝步骤</v>
      </c>
      <c r="F13" s="216" t="b">
        <v>1</v>
      </c>
      <c r="G13" s="216" t="s">
        <v>672</v>
      </c>
      <c r="H13" s="216" t="s">
        <v>664</v>
      </c>
      <c r="I13" s="216" t="s">
        <v>413</v>
      </c>
      <c r="J13" s="216" t="s">
        <v>413</v>
      </c>
      <c r="K13" s="216">
        <v>0</v>
      </c>
      <c r="L13" s="216">
        <v>0</v>
      </c>
      <c r="M13" s="216" t="s">
        <v>418</v>
      </c>
      <c r="N13" s="216" t="s">
        <v>418</v>
      </c>
      <c r="O13" s="216" t="s">
        <v>678</v>
      </c>
      <c r="P13" s="216" t="s">
        <v>678</v>
      </c>
      <c r="Q13" s="216"/>
      <c r="R13" s="303" t="s">
        <v>415</v>
      </c>
      <c r="S13" s="303" t="s">
        <v>416</v>
      </c>
      <c r="T13" s="216"/>
      <c r="U13" s="216"/>
      <c r="V13" s="216" t="s">
        <v>418</v>
      </c>
    </row>
    <row r="14" spans="1:22" s="213" customFormat="1">
      <c r="A14" s="216"/>
      <c r="B14" s="216" t="str">
        <f t="shared" si="1"/>
        <v>WorkflowStepSuccessStatus</v>
      </c>
      <c r="C14" s="216" t="s">
        <v>346</v>
      </c>
      <c r="D14" s="216" t="s">
        <v>694</v>
      </c>
      <c r="E14" s="217" t="str">
        <f t="shared" si="0"/>
        <v>步骤执行成功状态</v>
      </c>
      <c r="F14" s="216" t="b">
        <v>1</v>
      </c>
      <c r="G14" s="216" t="s">
        <v>695</v>
      </c>
      <c r="H14" s="216" t="s">
        <v>664</v>
      </c>
      <c r="I14" s="216" t="s">
        <v>296</v>
      </c>
      <c r="J14" s="216" t="s">
        <v>435</v>
      </c>
      <c r="K14" s="216">
        <v>0</v>
      </c>
      <c r="L14" s="216">
        <v>0</v>
      </c>
      <c r="M14" s="216" t="s">
        <v>418</v>
      </c>
      <c r="N14" s="216">
        <v>1</v>
      </c>
      <c r="O14" s="216" t="s">
        <v>678</v>
      </c>
      <c r="P14" s="216" t="s">
        <v>696</v>
      </c>
      <c r="Q14" s="216"/>
      <c r="R14" s="303" t="s">
        <v>415</v>
      </c>
      <c r="S14" s="303" t="s">
        <v>416</v>
      </c>
      <c r="T14" s="216"/>
      <c r="U14" s="216"/>
      <c r="V14" s="216" t="s">
        <v>418</v>
      </c>
    </row>
    <row r="15" spans="1:22" s="213" customFormat="1">
      <c r="A15" s="216"/>
      <c r="B15" s="216" t="str">
        <f t="shared" si="1"/>
        <v>WorkflowStepFailureStatus</v>
      </c>
      <c r="C15" s="216" t="s">
        <v>349</v>
      </c>
      <c r="D15" s="216" t="s">
        <v>697</v>
      </c>
      <c r="E15" s="217" t="str">
        <f t="shared" si="0"/>
        <v>步骤执行失败状态</v>
      </c>
      <c r="F15" s="216" t="b">
        <v>1</v>
      </c>
      <c r="G15" s="216" t="s">
        <v>695</v>
      </c>
      <c r="H15" s="216" t="s">
        <v>664</v>
      </c>
      <c r="I15" s="216" t="s">
        <v>296</v>
      </c>
      <c r="J15" s="216" t="s">
        <v>435</v>
      </c>
      <c r="K15" s="216">
        <v>0</v>
      </c>
      <c r="L15" s="216">
        <v>0</v>
      </c>
      <c r="M15" s="216" t="s">
        <v>418</v>
      </c>
      <c r="N15" s="216">
        <v>1</v>
      </c>
      <c r="O15" s="216" t="s">
        <v>678</v>
      </c>
      <c r="P15" s="216" t="s">
        <v>696</v>
      </c>
      <c r="Q15" s="216"/>
      <c r="R15" s="303" t="s">
        <v>415</v>
      </c>
      <c r="S15" s="303" t="s">
        <v>416</v>
      </c>
      <c r="T15" s="216"/>
      <c r="U15" s="216"/>
      <c r="V15" s="216" t="s">
        <v>418</v>
      </c>
    </row>
    <row r="16" spans="1:22" s="213" customFormat="1">
      <c r="A16" s="216"/>
      <c r="B16" s="216" t="str">
        <f t="shared" si="1"/>
        <v>WorkflowWorkflowTemplate</v>
      </c>
      <c r="C16" s="216" t="s">
        <v>698</v>
      </c>
      <c r="D16" s="216" t="s">
        <v>699</v>
      </c>
      <c r="E16" s="217" t="str">
        <f t="shared" si="0"/>
        <v>工作流实例依托的模板</v>
      </c>
      <c r="F16" s="216" t="b">
        <v>1</v>
      </c>
      <c r="G16" s="216" t="s">
        <v>700</v>
      </c>
      <c r="H16" s="216" t="s">
        <v>664</v>
      </c>
      <c r="I16" s="216" t="s">
        <v>421</v>
      </c>
      <c r="J16" s="216" t="s">
        <v>372</v>
      </c>
      <c r="K16" s="216">
        <v>0</v>
      </c>
      <c r="L16" s="216">
        <v>1</v>
      </c>
      <c r="M16" s="216" t="s">
        <v>418</v>
      </c>
      <c r="N16" s="216">
        <v>1</v>
      </c>
      <c r="O16" s="216" t="s">
        <v>701</v>
      </c>
      <c r="P16" s="216" t="s">
        <v>665</v>
      </c>
      <c r="Q16" s="216"/>
      <c r="R16" s="303" t="s">
        <v>415</v>
      </c>
      <c r="S16" s="303" t="s">
        <v>416</v>
      </c>
      <c r="T16" s="216"/>
      <c r="U16" s="216"/>
      <c r="V16" s="216" t="s">
        <v>418</v>
      </c>
    </row>
    <row r="17" spans="1:22" s="213" customFormat="1">
      <c r="A17" s="216"/>
      <c r="B17" s="216" t="str">
        <f t="shared" si="1"/>
        <v>WorkflowFirstStep</v>
      </c>
      <c r="C17" s="218" t="s">
        <v>702</v>
      </c>
      <c r="D17" s="218" t="s">
        <v>703</v>
      </c>
      <c r="E17" s="217" t="str">
        <f t="shared" si="0"/>
        <v>第一个步骤</v>
      </c>
      <c r="F17" s="216" t="b">
        <v>1</v>
      </c>
      <c r="G17" s="216" t="s">
        <v>704</v>
      </c>
      <c r="H17" s="216" t="s">
        <v>664</v>
      </c>
      <c r="I17" s="216" t="s">
        <v>390</v>
      </c>
      <c r="J17" s="216" t="s">
        <v>413</v>
      </c>
      <c r="K17" s="216">
        <v>0</v>
      </c>
      <c r="L17" s="216">
        <v>0</v>
      </c>
      <c r="M17" s="216">
        <v>1</v>
      </c>
      <c r="N17" s="216">
        <v>1</v>
      </c>
      <c r="O17" s="216" t="s">
        <v>673</v>
      </c>
      <c r="P17" s="216" t="s">
        <v>678</v>
      </c>
      <c r="Q17" s="216"/>
      <c r="R17" s="303" t="s">
        <v>415</v>
      </c>
      <c r="S17" s="303" t="s">
        <v>416</v>
      </c>
      <c r="T17" s="216"/>
      <c r="U17" s="216"/>
      <c r="V17" s="216" t="s">
        <v>418</v>
      </c>
    </row>
    <row r="18" spans="1:22" s="213" customFormat="1">
      <c r="A18" s="216"/>
      <c r="B18" s="216" t="str">
        <f t="shared" si="1"/>
        <v>WorkflowStepDefMethod</v>
      </c>
      <c r="C18" s="218" t="s">
        <v>705</v>
      </c>
      <c r="D18" s="218" t="s">
        <v>706</v>
      </c>
      <c r="E18" s="217" t="str">
        <f t="shared" si="0"/>
        <v>步骤定义方法</v>
      </c>
      <c r="F18" s="216" t="b">
        <v>1</v>
      </c>
      <c r="G18" s="216" t="s">
        <v>707</v>
      </c>
      <c r="H18" s="216" t="s">
        <v>664</v>
      </c>
      <c r="I18" s="216" t="s">
        <v>368</v>
      </c>
      <c r="J18" s="216" t="s">
        <v>447</v>
      </c>
      <c r="K18" s="216">
        <v>0</v>
      </c>
      <c r="L18" s="216">
        <v>0</v>
      </c>
      <c r="M18" s="216">
        <v>1</v>
      </c>
      <c r="N18" s="216" t="s">
        <v>418</v>
      </c>
      <c r="O18" s="218" t="s">
        <v>708</v>
      </c>
      <c r="P18" s="218" t="s">
        <v>709</v>
      </c>
      <c r="Q18" s="216"/>
      <c r="R18" s="303" t="s">
        <v>415</v>
      </c>
      <c r="S18" s="303" t="s">
        <v>416</v>
      </c>
      <c r="T18" s="216"/>
      <c r="U18" s="216"/>
      <c r="V18" s="216" t="s">
        <v>418</v>
      </c>
    </row>
    <row r="19" spans="1:22" s="213" customFormat="1">
      <c r="A19" s="216"/>
      <c r="B19" s="216" t="str">
        <f t="shared" si="1"/>
        <v>WorkflowItemWorkflow</v>
      </c>
      <c r="C19" s="218" t="s">
        <v>710</v>
      </c>
      <c r="D19" s="218" t="s">
        <v>711</v>
      </c>
      <c r="E19" s="217" t="str">
        <f t="shared" si="0"/>
        <v>工作项获取工作流对象</v>
      </c>
      <c r="F19" s="216" t="b">
        <v>1</v>
      </c>
      <c r="G19" s="216" t="s">
        <v>712</v>
      </c>
      <c r="H19" s="216" t="s">
        <v>664</v>
      </c>
      <c r="I19" s="216" t="s">
        <v>427</v>
      </c>
      <c r="J19" s="216" t="s">
        <v>421</v>
      </c>
      <c r="K19" s="216">
        <v>0</v>
      </c>
      <c r="L19" s="216">
        <v>0</v>
      </c>
      <c r="M19" s="216">
        <v>1</v>
      </c>
      <c r="N19" s="216" t="s">
        <v>418</v>
      </c>
      <c r="O19" s="218" t="s">
        <v>713</v>
      </c>
      <c r="P19" s="218" t="s">
        <v>714</v>
      </c>
      <c r="Q19" s="216"/>
      <c r="R19" s="303" t="s">
        <v>415</v>
      </c>
      <c r="S19" s="303" t="s">
        <v>416</v>
      </c>
      <c r="T19" s="216" t="b">
        <v>1</v>
      </c>
      <c r="U19" s="216"/>
      <c r="V19" s="216" t="s">
        <v>418</v>
      </c>
    </row>
    <row r="20" spans="1:22" s="214" customFormat="1">
      <c r="A20" s="219" t="s">
        <v>715</v>
      </c>
      <c r="B20" s="220" t="str">
        <f t="shared" si="1"/>
        <v>WorkflowStepParticipantsUser</v>
      </c>
      <c r="C20" s="219" t="s">
        <v>716</v>
      </c>
      <c r="D20" s="219" t="s">
        <v>717</v>
      </c>
      <c r="E20" s="217" t="str">
        <f t="shared" si="0"/>
        <v>接收者收件人</v>
      </c>
      <c r="F20" s="220" t="b">
        <v>1</v>
      </c>
      <c r="G20" s="220" t="s">
        <v>718</v>
      </c>
      <c r="H20" s="220" t="s">
        <v>664</v>
      </c>
      <c r="I20" s="220" t="s">
        <v>445</v>
      </c>
      <c r="J20" s="219" t="s">
        <v>177</v>
      </c>
      <c r="K20" s="220">
        <v>0</v>
      </c>
      <c r="L20" s="220">
        <v>0</v>
      </c>
      <c r="M20" s="220">
        <v>1</v>
      </c>
      <c r="N20" s="220">
        <v>1</v>
      </c>
      <c r="O20" s="220" t="s">
        <v>719</v>
      </c>
      <c r="P20" s="219" t="s">
        <v>720</v>
      </c>
      <c r="Q20" s="220"/>
      <c r="R20" s="309" t="s">
        <v>415</v>
      </c>
      <c r="S20" s="309" t="s">
        <v>416</v>
      </c>
      <c r="T20" s="220"/>
      <c r="U20" s="220"/>
      <c r="V20" s="220" t="s">
        <v>418</v>
      </c>
    </row>
    <row r="21" spans="1:22" s="214" customFormat="1">
      <c r="A21" s="219" t="s">
        <v>715</v>
      </c>
      <c r="B21" s="220" t="str">
        <f t="shared" ref="B21:B39" si="2">C21</f>
        <v>WorkflowStepParticipantsRole</v>
      </c>
      <c r="C21" s="219" t="s">
        <v>721</v>
      </c>
      <c r="D21" s="219" t="s">
        <v>722</v>
      </c>
      <c r="E21" s="217" t="str">
        <f t="shared" si="0"/>
        <v>接收者角色</v>
      </c>
      <c r="F21" s="220" t="b">
        <v>1</v>
      </c>
      <c r="G21" s="220" t="s">
        <v>718</v>
      </c>
      <c r="H21" s="220" t="s">
        <v>664</v>
      </c>
      <c r="I21" s="220" t="s">
        <v>445</v>
      </c>
      <c r="J21" s="219" t="s">
        <v>187</v>
      </c>
      <c r="K21" s="220">
        <v>0</v>
      </c>
      <c r="L21" s="220">
        <v>0</v>
      </c>
      <c r="M21" s="220">
        <v>1</v>
      </c>
      <c r="N21" s="220" t="s">
        <v>418</v>
      </c>
      <c r="O21" s="220" t="s">
        <v>719</v>
      </c>
      <c r="P21" s="219" t="s">
        <v>723</v>
      </c>
      <c r="Q21" s="220"/>
      <c r="R21" s="309" t="s">
        <v>415</v>
      </c>
      <c r="S21" s="309" t="s">
        <v>416</v>
      </c>
      <c r="T21" s="220"/>
      <c r="U21" s="220"/>
      <c r="V21" s="220" t="s">
        <v>418</v>
      </c>
    </row>
    <row r="22" spans="1:22" s="214" customFormat="1">
      <c r="A22" s="219" t="s">
        <v>715</v>
      </c>
      <c r="B22" s="220" t="str">
        <f t="shared" si="2"/>
        <v>WorkflowStepObjectRole</v>
      </c>
      <c r="C22" s="219" t="s">
        <v>724</v>
      </c>
      <c r="D22" s="219" t="s">
        <v>725</v>
      </c>
      <c r="E22" s="217" t="str">
        <f t="shared" si="0"/>
        <v>工作流步骤实例接收角色</v>
      </c>
      <c r="F22" s="220" t="b">
        <v>1</v>
      </c>
      <c r="G22" s="220" t="s">
        <v>718</v>
      </c>
      <c r="H22" s="220" t="s">
        <v>664</v>
      </c>
      <c r="I22" s="220" t="s">
        <v>431</v>
      </c>
      <c r="J22" s="219" t="s">
        <v>187</v>
      </c>
      <c r="K22" s="220">
        <v>0</v>
      </c>
      <c r="L22" s="220">
        <v>0</v>
      </c>
      <c r="M22" s="220">
        <v>1</v>
      </c>
      <c r="N22" s="220">
        <v>1</v>
      </c>
      <c r="O22" s="220" t="s">
        <v>726</v>
      </c>
      <c r="P22" s="219" t="s">
        <v>723</v>
      </c>
      <c r="Q22" s="220"/>
      <c r="R22" s="309" t="s">
        <v>415</v>
      </c>
      <c r="S22" s="309" t="s">
        <v>416</v>
      </c>
      <c r="T22" s="220"/>
      <c r="U22" s="220"/>
      <c r="V22" s="220" t="s">
        <v>418</v>
      </c>
    </row>
    <row r="23" spans="1:22" s="213" customFormat="1">
      <c r="A23" s="216"/>
      <c r="B23" s="216" t="str">
        <f t="shared" si="2"/>
        <v>WorkflowStepExpandedParallelStep</v>
      </c>
      <c r="C23" s="218" t="s">
        <v>727</v>
      </c>
      <c r="D23" s="218" t="s">
        <v>728</v>
      </c>
      <c r="E23" s="217" t="str">
        <f t="shared" si="0"/>
        <v>工作流步骤实例并行步骤</v>
      </c>
      <c r="F23" s="216" t="b">
        <v>1</v>
      </c>
      <c r="G23" s="216" t="s">
        <v>729</v>
      </c>
      <c r="H23" s="216" t="s">
        <v>664</v>
      </c>
      <c r="I23" s="216" t="s">
        <v>431</v>
      </c>
      <c r="J23" s="218" t="s">
        <v>431</v>
      </c>
      <c r="K23" s="216">
        <v>0</v>
      </c>
      <c r="L23" s="216">
        <v>0</v>
      </c>
      <c r="M23" s="216">
        <v>1</v>
      </c>
      <c r="N23" s="216" t="s">
        <v>418</v>
      </c>
      <c r="O23" s="216" t="s">
        <v>730</v>
      </c>
      <c r="P23" s="218" t="s">
        <v>731</v>
      </c>
      <c r="Q23" s="216"/>
      <c r="R23" s="303" t="s">
        <v>415</v>
      </c>
      <c r="S23" s="303" t="s">
        <v>416</v>
      </c>
      <c r="T23" s="216"/>
      <c r="U23" s="216"/>
      <c r="V23" s="216" t="s">
        <v>418</v>
      </c>
    </row>
    <row r="24" spans="1:22" s="213" customFormat="1">
      <c r="A24" s="216"/>
      <c r="B24" s="216" t="str">
        <f t="shared" si="2"/>
        <v>WorkflowStepCompletedBy</v>
      </c>
      <c r="C24" s="218" t="s">
        <v>732</v>
      </c>
      <c r="D24" s="218" t="s">
        <v>733</v>
      </c>
      <c r="E24" s="217" t="str">
        <f t="shared" si="0"/>
        <v>工作流步骤完成者</v>
      </c>
      <c r="F24" s="216" t="b">
        <v>1</v>
      </c>
      <c r="G24" s="216" t="s">
        <v>729</v>
      </c>
      <c r="H24" s="216" t="s">
        <v>664</v>
      </c>
      <c r="I24" s="216" t="s">
        <v>431</v>
      </c>
      <c r="J24" s="218" t="s">
        <v>177</v>
      </c>
      <c r="K24" s="216">
        <v>0</v>
      </c>
      <c r="L24" s="216">
        <v>0</v>
      </c>
      <c r="M24" s="216">
        <v>1</v>
      </c>
      <c r="N24" s="216">
        <v>1</v>
      </c>
      <c r="O24" s="216" t="s">
        <v>730</v>
      </c>
      <c r="P24" s="218" t="s">
        <v>734</v>
      </c>
      <c r="Q24" s="216"/>
      <c r="R24" s="303" t="s">
        <v>415</v>
      </c>
      <c r="S24" s="303" t="s">
        <v>416</v>
      </c>
      <c r="T24" s="216"/>
      <c r="U24" s="216"/>
      <c r="V24" s="216" t="s">
        <v>418</v>
      </c>
    </row>
    <row r="25" spans="1:22" s="214" customFormat="1">
      <c r="A25" s="219" t="s">
        <v>715</v>
      </c>
      <c r="B25" s="220" t="str">
        <f t="shared" si="2"/>
        <v>WorkflowStepRecipientOriginalRole</v>
      </c>
      <c r="C25" s="219" t="s">
        <v>735</v>
      </c>
      <c r="D25" s="219" t="s">
        <v>736</v>
      </c>
      <c r="E25" s="217" t="str">
        <f t="shared" si="0"/>
        <v>工作流步骤接收者原来角色</v>
      </c>
      <c r="F25" s="220" t="b">
        <v>1</v>
      </c>
      <c r="G25" s="220" t="s">
        <v>718</v>
      </c>
      <c r="H25" s="220" t="s">
        <v>664</v>
      </c>
      <c r="I25" s="220" t="s">
        <v>460</v>
      </c>
      <c r="J25" s="219" t="s">
        <v>187</v>
      </c>
      <c r="K25" s="220">
        <v>0</v>
      </c>
      <c r="L25" s="220">
        <v>0</v>
      </c>
      <c r="M25" s="220">
        <v>1</v>
      </c>
      <c r="N25" s="220" t="s">
        <v>418</v>
      </c>
      <c r="O25" s="220" t="s">
        <v>719</v>
      </c>
      <c r="P25" s="219" t="s">
        <v>723</v>
      </c>
      <c r="Q25" s="220"/>
      <c r="R25" s="309" t="s">
        <v>415</v>
      </c>
      <c r="S25" s="309" t="s">
        <v>416</v>
      </c>
      <c r="T25" s="220"/>
      <c r="U25" s="220"/>
      <c r="V25" s="220" t="s">
        <v>418</v>
      </c>
    </row>
    <row r="26" spans="1:22" s="214" customFormat="1">
      <c r="A26" s="219" t="s">
        <v>715</v>
      </c>
      <c r="B26" s="220" t="str">
        <f t="shared" si="2"/>
        <v>WorkflowStepReassignFromUser</v>
      </c>
      <c r="C26" s="219" t="s">
        <v>737</v>
      </c>
      <c r="D26" s="219" t="s">
        <v>738</v>
      </c>
      <c r="E26" s="217" t="str">
        <f t="shared" si="0"/>
        <v>工作流步骤重新分配人</v>
      </c>
      <c r="F26" s="220" t="b">
        <v>1</v>
      </c>
      <c r="G26" s="220" t="s">
        <v>718</v>
      </c>
      <c r="H26" s="220" t="s">
        <v>664</v>
      </c>
      <c r="I26" s="220" t="s">
        <v>431</v>
      </c>
      <c r="J26" s="219" t="s">
        <v>177</v>
      </c>
      <c r="K26" s="220">
        <v>0</v>
      </c>
      <c r="L26" s="220">
        <v>0</v>
      </c>
      <c r="M26" s="220">
        <v>1</v>
      </c>
      <c r="N26" s="220">
        <v>1</v>
      </c>
      <c r="O26" s="220" t="s">
        <v>726</v>
      </c>
      <c r="P26" s="219" t="s">
        <v>720</v>
      </c>
      <c r="Q26" s="220"/>
      <c r="R26" s="309" t="s">
        <v>415</v>
      </c>
      <c r="S26" s="309" t="s">
        <v>416</v>
      </c>
      <c r="T26" s="220"/>
      <c r="U26" s="220"/>
      <c r="V26" s="220" t="s">
        <v>418</v>
      </c>
    </row>
    <row r="27" spans="1:22" s="213" customFormat="1">
      <c r="A27" s="216"/>
      <c r="B27" s="216" t="str">
        <f t="shared" si="2"/>
        <v>WorkflowStepOriginalStepRecipient</v>
      </c>
      <c r="C27" s="218" t="s">
        <v>739</v>
      </c>
      <c r="D27" s="218" t="s">
        <v>740</v>
      </c>
      <c r="E27" s="217" t="str">
        <f t="shared" si="0"/>
        <v>工作流步骤原来接收者</v>
      </c>
      <c r="F27" s="216" t="b">
        <v>1</v>
      </c>
      <c r="G27" s="216" t="s">
        <v>729</v>
      </c>
      <c r="H27" s="216" t="s">
        <v>664</v>
      </c>
      <c r="I27" s="216" t="s">
        <v>431</v>
      </c>
      <c r="J27" s="216" t="s">
        <v>460</v>
      </c>
      <c r="K27" s="216">
        <v>0</v>
      </c>
      <c r="L27" s="216">
        <v>0</v>
      </c>
      <c r="M27" s="216">
        <v>1</v>
      </c>
      <c r="N27" s="216" t="s">
        <v>418</v>
      </c>
      <c r="O27" s="216" t="s">
        <v>678</v>
      </c>
      <c r="P27" s="218" t="s">
        <v>741</v>
      </c>
      <c r="Q27" s="216"/>
      <c r="R27" s="303" t="s">
        <v>415</v>
      </c>
      <c r="S27" s="303" t="s">
        <v>416</v>
      </c>
      <c r="T27" s="216"/>
      <c r="U27" s="216"/>
      <c r="V27" s="216" t="s">
        <v>418</v>
      </c>
    </row>
    <row r="28" spans="1:22" s="213" customFormat="1">
      <c r="A28" s="216"/>
      <c r="B28" s="216" t="str">
        <f t="shared" si="2"/>
        <v>WorkflowDefaultSubmitter</v>
      </c>
      <c r="C28" s="216" t="s">
        <v>742</v>
      </c>
      <c r="D28" s="218" t="s">
        <v>743</v>
      </c>
      <c r="E28" s="217" t="str">
        <f t="shared" si="0"/>
        <v>工作流提交者</v>
      </c>
      <c r="F28" s="216" t="b">
        <v>1</v>
      </c>
      <c r="G28" s="216" t="s">
        <v>700</v>
      </c>
      <c r="H28" s="216" t="s">
        <v>664</v>
      </c>
      <c r="I28" s="216" t="s">
        <v>390</v>
      </c>
      <c r="J28" s="216" t="s">
        <v>177</v>
      </c>
      <c r="K28" s="216">
        <v>0</v>
      </c>
      <c r="L28" s="216">
        <v>0</v>
      </c>
      <c r="M28" s="216">
        <v>1</v>
      </c>
      <c r="N28" s="216">
        <v>1</v>
      </c>
      <c r="O28" s="216" t="s">
        <v>673</v>
      </c>
      <c r="P28" s="218" t="s">
        <v>734</v>
      </c>
      <c r="Q28" s="216"/>
      <c r="R28" s="303" t="s">
        <v>415</v>
      </c>
      <c r="S28" s="303" t="s">
        <v>416</v>
      </c>
      <c r="T28" s="216"/>
      <c r="U28" s="216"/>
      <c r="V28" s="216" t="s">
        <v>418</v>
      </c>
    </row>
    <row r="29" spans="1:22" s="213" customFormat="1">
      <c r="A29" s="216"/>
      <c r="B29" s="216" t="str">
        <f t="shared" si="2"/>
        <v>WorkflowStepEarlyWarningMode</v>
      </c>
      <c r="C29" s="216" t="s">
        <v>744</v>
      </c>
      <c r="D29" s="218" t="s">
        <v>745</v>
      </c>
      <c r="E29" s="217" t="str">
        <f t="shared" si="0"/>
        <v>工作步骤超时预警方式</v>
      </c>
      <c r="F29" s="216" t="b">
        <v>1</v>
      </c>
      <c r="G29" s="216" t="s">
        <v>672</v>
      </c>
      <c r="H29" s="216" t="s">
        <v>664</v>
      </c>
      <c r="I29" s="216" t="s">
        <v>296</v>
      </c>
      <c r="J29" s="216" t="s">
        <v>425</v>
      </c>
      <c r="K29" s="216">
        <v>0</v>
      </c>
      <c r="L29" s="216">
        <v>0</v>
      </c>
      <c r="M29" s="216">
        <v>1</v>
      </c>
      <c r="N29" s="216">
        <v>1</v>
      </c>
      <c r="O29" s="216" t="s">
        <v>678</v>
      </c>
      <c r="P29" s="216" t="s">
        <v>746</v>
      </c>
      <c r="Q29" s="216"/>
      <c r="R29" s="303" t="s">
        <v>415</v>
      </c>
      <c r="S29" s="303" t="s">
        <v>416</v>
      </c>
      <c r="T29" s="216"/>
      <c r="U29" s="216"/>
      <c r="V29" s="216" t="s">
        <v>418</v>
      </c>
    </row>
    <row r="30" spans="1:22" s="213" customFormat="1">
      <c r="A30" s="216"/>
      <c r="B30" s="216" t="str">
        <f t="shared" si="2"/>
        <v>WorkflowStepOvertimePrincipal</v>
      </c>
      <c r="C30" s="216" t="s">
        <v>747</v>
      </c>
      <c r="D30" s="216" t="s">
        <v>748</v>
      </c>
      <c r="E30" s="217" t="str">
        <f t="shared" si="0"/>
        <v>步骤超时委托人</v>
      </c>
      <c r="F30" s="216" t="b">
        <v>1</v>
      </c>
      <c r="G30" s="216" t="s">
        <v>672</v>
      </c>
      <c r="H30" s="216" t="s">
        <v>664</v>
      </c>
      <c r="I30" s="216" t="s">
        <v>296</v>
      </c>
      <c r="J30" s="216" t="s">
        <v>177</v>
      </c>
      <c r="K30" s="216">
        <v>0</v>
      </c>
      <c r="L30" s="216">
        <v>0</v>
      </c>
      <c r="M30" s="216" t="s">
        <v>418</v>
      </c>
      <c r="N30" s="216">
        <v>1</v>
      </c>
      <c r="O30" s="216" t="s">
        <v>678</v>
      </c>
      <c r="P30" s="218" t="s">
        <v>749</v>
      </c>
      <c r="Q30" s="216"/>
      <c r="R30" s="303" t="s">
        <v>415</v>
      </c>
      <c r="S30" s="303" t="s">
        <v>416</v>
      </c>
      <c r="T30" s="216"/>
      <c r="U30" s="216"/>
      <c r="V30" s="216" t="s">
        <v>418</v>
      </c>
    </row>
    <row r="31" spans="1:22" s="213" customFormat="1">
      <c r="A31" s="216"/>
      <c r="B31" s="216" t="str">
        <f t="shared" si="2"/>
        <v>WorkflowStepContinuesStep</v>
      </c>
      <c r="C31" s="218" t="s">
        <v>750</v>
      </c>
      <c r="D31" s="218" t="s">
        <v>751</v>
      </c>
      <c r="E31" s="217" t="str">
        <f t="shared" si="0"/>
        <v>实际运转的上下游步骤</v>
      </c>
      <c r="F31" s="216" t="b">
        <v>1</v>
      </c>
      <c r="G31" s="216" t="s">
        <v>729</v>
      </c>
      <c r="H31" s="216" t="s">
        <v>664</v>
      </c>
      <c r="I31" s="216" t="s">
        <v>431</v>
      </c>
      <c r="J31" s="216" t="s">
        <v>431</v>
      </c>
      <c r="K31" s="216">
        <v>0</v>
      </c>
      <c r="L31" s="216">
        <v>0</v>
      </c>
      <c r="M31" s="216" t="s">
        <v>418</v>
      </c>
      <c r="N31" s="216" t="s">
        <v>418</v>
      </c>
      <c r="O31" s="218" t="s">
        <v>752</v>
      </c>
      <c r="P31" s="218" t="s">
        <v>752</v>
      </c>
      <c r="Q31" s="218" t="s">
        <v>456</v>
      </c>
      <c r="R31" s="303" t="s">
        <v>415</v>
      </c>
      <c r="S31" s="303" t="s">
        <v>416</v>
      </c>
      <c r="T31" s="216"/>
      <c r="U31" s="216"/>
      <c r="V31" s="216" t="s">
        <v>418</v>
      </c>
    </row>
    <row r="32" spans="1:22" s="213" customFormat="1">
      <c r="B32" s="216" t="str">
        <f t="shared" si="2"/>
        <v>WorkflowCategory</v>
      </c>
      <c r="C32" s="217" t="s">
        <v>753</v>
      </c>
      <c r="D32" s="217" t="s">
        <v>754</v>
      </c>
      <c r="E32" s="217" t="str">
        <f t="shared" si="0"/>
        <v>工作流分类</v>
      </c>
      <c r="F32" s="216" t="b">
        <v>1</v>
      </c>
      <c r="G32" s="216" t="s">
        <v>663</v>
      </c>
      <c r="H32" s="216" t="s">
        <v>664</v>
      </c>
      <c r="I32" s="216" t="s">
        <v>390</v>
      </c>
      <c r="J32" s="217" t="s">
        <v>454</v>
      </c>
      <c r="K32" s="216">
        <v>0</v>
      </c>
      <c r="L32" s="216">
        <v>0</v>
      </c>
      <c r="M32" s="217" t="s">
        <v>418</v>
      </c>
      <c r="N32" s="213">
        <v>1</v>
      </c>
      <c r="O32" s="216" t="s">
        <v>673</v>
      </c>
      <c r="P32" s="217" t="s">
        <v>755</v>
      </c>
      <c r="R32" s="303" t="s">
        <v>415</v>
      </c>
      <c r="S32" s="303" t="s">
        <v>416</v>
      </c>
      <c r="T32" s="216"/>
      <c r="U32" s="216"/>
      <c r="V32" s="216" t="s">
        <v>418</v>
      </c>
    </row>
    <row r="33" spans="1:22" s="213" customFormat="1">
      <c r="A33" s="216"/>
      <c r="B33" s="216" t="str">
        <f t="shared" si="2"/>
        <v>WorkflowReassignToParticipant</v>
      </c>
      <c r="C33" s="218" t="s">
        <v>756</v>
      </c>
      <c r="D33" s="218" t="s">
        <v>757</v>
      </c>
      <c r="E33" s="217" t="str">
        <f t="shared" si="0"/>
        <v>默认的重新分配的参与人</v>
      </c>
      <c r="F33" s="216" t="b">
        <v>1</v>
      </c>
      <c r="G33" s="216" t="s">
        <v>663</v>
      </c>
      <c r="H33" s="216" t="s">
        <v>664</v>
      </c>
      <c r="I33" s="216" t="s">
        <v>390</v>
      </c>
      <c r="J33" s="217" t="s">
        <v>462</v>
      </c>
      <c r="K33" s="216">
        <v>0</v>
      </c>
      <c r="L33" s="216">
        <v>1</v>
      </c>
      <c r="M33" s="216" t="s">
        <v>418</v>
      </c>
      <c r="N33" s="216">
        <v>1</v>
      </c>
      <c r="O33" s="216" t="s">
        <v>673</v>
      </c>
      <c r="P33" s="216" t="s">
        <v>758</v>
      </c>
      <c r="Q33" s="216"/>
      <c r="R33" s="303" t="s">
        <v>415</v>
      </c>
      <c r="S33" s="303" t="s">
        <v>416</v>
      </c>
      <c r="T33" s="216"/>
      <c r="U33" s="216"/>
      <c r="V33" s="216" t="s">
        <v>418</v>
      </c>
    </row>
    <row r="34" spans="1:22" s="213" customFormat="1">
      <c r="B34" s="216" t="str">
        <f t="shared" si="2"/>
        <v>WorkflowObjectContinues</v>
      </c>
      <c r="C34" s="217" t="s">
        <v>759</v>
      </c>
      <c r="D34" s="217" t="s">
        <v>760</v>
      </c>
      <c r="E34" s="217" t="str">
        <f t="shared" si="0"/>
        <v>工作流实例接续的工作流实例</v>
      </c>
      <c r="F34" s="216" t="b">
        <v>1</v>
      </c>
      <c r="G34" s="216" t="s">
        <v>700</v>
      </c>
      <c r="H34" s="216" t="s">
        <v>664</v>
      </c>
      <c r="I34" s="216" t="s">
        <v>413</v>
      </c>
      <c r="J34" s="216" t="s">
        <v>413</v>
      </c>
      <c r="K34" s="216">
        <v>0</v>
      </c>
      <c r="L34" s="216">
        <v>0</v>
      </c>
      <c r="M34" s="217">
        <v>1</v>
      </c>
      <c r="N34" s="216" t="s">
        <v>418</v>
      </c>
      <c r="O34" s="216" t="s">
        <v>673</v>
      </c>
      <c r="P34" s="217" t="s">
        <v>761</v>
      </c>
      <c r="R34" s="303" t="s">
        <v>415</v>
      </c>
      <c r="S34" s="303" t="s">
        <v>416</v>
      </c>
      <c r="T34" s="216"/>
      <c r="U34" s="216"/>
      <c r="V34" s="216" t="s">
        <v>418</v>
      </c>
    </row>
    <row r="35" spans="1:22" s="213" customFormat="1">
      <c r="A35" s="216"/>
      <c r="B35" s="216" t="str">
        <f t="shared" si="2"/>
        <v>WorkflowStepOriginalOvertimePrincipals</v>
      </c>
      <c r="C35" s="218" t="s">
        <v>762</v>
      </c>
      <c r="D35" s="218" t="s">
        <v>763</v>
      </c>
      <c r="E35" s="217" t="str">
        <f t="shared" si="0"/>
        <v>原始的临时委托人</v>
      </c>
      <c r="F35" s="216" t="b">
        <v>1</v>
      </c>
      <c r="G35" s="216" t="s">
        <v>729</v>
      </c>
      <c r="H35" s="216" t="s">
        <v>664</v>
      </c>
      <c r="I35" s="216" t="s">
        <v>296</v>
      </c>
      <c r="J35" s="216" t="s">
        <v>177</v>
      </c>
      <c r="K35" s="216">
        <v>0</v>
      </c>
      <c r="L35" s="216">
        <v>0</v>
      </c>
      <c r="M35" s="216" t="s">
        <v>418</v>
      </c>
      <c r="N35" s="216" t="s">
        <v>418</v>
      </c>
      <c r="O35" s="218" t="s">
        <v>752</v>
      </c>
      <c r="P35" s="218" t="s">
        <v>749</v>
      </c>
      <c r="Q35" s="218"/>
      <c r="R35" s="303" t="s">
        <v>415</v>
      </c>
      <c r="S35" s="303" t="s">
        <v>416</v>
      </c>
      <c r="T35" s="216"/>
      <c r="U35" s="216"/>
      <c r="V35" s="216" t="s">
        <v>418</v>
      </c>
    </row>
    <row r="36" spans="1:22" s="213" customFormat="1">
      <c r="B36" s="216" t="str">
        <f t="shared" si="2"/>
        <v>WorkflowStepGroupRecipient2Participants</v>
      </c>
      <c r="C36" s="217" t="s">
        <v>764</v>
      </c>
      <c r="D36" s="217" t="s">
        <v>765</v>
      </c>
      <c r="E36" s="217" t="str">
        <f t="shared" si="0"/>
        <v>组参与人和具体的参与人</v>
      </c>
      <c r="F36" s="216" t="b">
        <v>1</v>
      </c>
      <c r="G36" s="216" t="s">
        <v>672</v>
      </c>
      <c r="H36" s="216" t="s">
        <v>664</v>
      </c>
      <c r="I36" s="218" t="s">
        <v>458</v>
      </c>
      <c r="J36" s="217" t="s">
        <v>462</v>
      </c>
      <c r="K36" s="216">
        <v>0</v>
      </c>
      <c r="L36" s="216">
        <v>0</v>
      </c>
      <c r="M36" s="217" t="s">
        <v>418</v>
      </c>
      <c r="N36" s="213" t="s">
        <v>418</v>
      </c>
      <c r="O36" s="218" t="s">
        <v>741</v>
      </c>
      <c r="P36" s="217" t="s">
        <v>741</v>
      </c>
      <c r="R36" s="303" t="s">
        <v>415</v>
      </c>
      <c r="S36" s="303" t="s">
        <v>416</v>
      </c>
      <c r="T36" s="216"/>
      <c r="U36" s="216"/>
      <c r="V36" s="216" t="s">
        <v>418</v>
      </c>
    </row>
    <row r="37" spans="1:22" s="213" customFormat="1">
      <c r="B37" s="216" t="str">
        <f t="shared" si="2"/>
        <v>WorkflowStepObjectInstantiatedBy</v>
      </c>
      <c r="C37" s="217" t="s">
        <v>766</v>
      </c>
      <c r="D37" s="217" t="s">
        <v>767</v>
      </c>
      <c r="E37" s="217" t="str">
        <f t="shared" si="0"/>
        <v>根据模板实例化</v>
      </c>
      <c r="F37" s="216" t="b">
        <v>1</v>
      </c>
      <c r="G37" s="216" t="s">
        <v>729</v>
      </c>
      <c r="H37" s="216" t="s">
        <v>664</v>
      </c>
      <c r="I37" s="216" t="s">
        <v>431</v>
      </c>
      <c r="J37" s="217" t="s">
        <v>404</v>
      </c>
      <c r="K37" s="216">
        <v>0</v>
      </c>
      <c r="L37" s="216">
        <v>1</v>
      </c>
      <c r="M37" s="217" t="s">
        <v>418</v>
      </c>
      <c r="N37" s="213">
        <v>1</v>
      </c>
      <c r="O37" s="218" t="s">
        <v>752</v>
      </c>
      <c r="P37" s="217" t="s">
        <v>768</v>
      </c>
      <c r="R37" s="303" t="s">
        <v>415</v>
      </c>
      <c r="S37" s="303" t="s">
        <v>416</v>
      </c>
      <c r="T37" s="216"/>
      <c r="U37" s="216"/>
      <c r="V37" s="216" t="s">
        <v>418</v>
      </c>
    </row>
    <row r="38" spans="1:22" s="213" customFormat="1">
      <c r="B38" s="216" t="str">
        <f t="shared" si="2"/>
        <v>WorkflowStepRecipientHistoryParticipants</v>
      </c>
      <c r="C38" s="217" t="s">
        <v>769</v>
      </c>
      <c r="D38" s="217" t="s">
        <v>770</v>
      </c>
      <c r="E38" s="217" t="str">
        <f t="shared" si="0"/>
        <v>参与人的链接关系</v>
      </c>
      <c r="F38" s="216" t="b">
        <v>1</v>
      </c>
      <c r="G38" s="217" t="s">
        <v>771</v>
      </c>
      <c r="H38" s="216" t="s">
        <v>664</v>
      </c>
      <c r="I38" s="217" t="s">
        <v>460</v>
      </c>
      <c r="J38" s="217" t="s">
        <v>460</v>
      </c>
      <c r="K38" s="216">
        <v>0</v>
      </c>
      <c r="L38" s="216">
        <v>1</v>
      </c>
      <c r="M38" s="217" t="s">
        <v>418</v>
      </c>
      <c r="N38" s="213">
        <v>1</v>
      </c>
      <c r="O38" s="218" t="s">
        <v>741</v>
      </c>
      <c r="P38" s="217" t="s">
        <v>741</v>
      </c>
      <c r="R38" s="303" t="s">
        <v>415</v>
      </c>
      <c r="S38" s="303" t="s">
        <v>416</v>
      </c>
      <c r="T38" s="216"/>
      <c r="V38" s="216" t="s">
        <v>418</v>
      </c>
    </row>
    <row r="39" spans="1:22" s="213" customFormat="1">
      <c r="B39" s="216" t="str">
        <f t="shared" si="2"/>
        <v>WorkflowStepRecipientParticipants</v>
      </c>
      <c r="C39" s="217" t="s">
        <v>772</v>
      </c>
      <c r="D39" s="217" t="s">
        <v>773</v>
      </c>
      <c r="E39" s="217" t="str">
        <f t="shared" si="0"/>
        <v>接受者对应的参与者</v>
      </c>
      <c r="F39" s="216" t="b">
        <v>1</v>
      </c>
      <c r="G39" s="217" t="s">
        <v>771</v>
      </c>
      <c r="H39" s="216" t="s">
        <v>664</v>
      </c>
      <c r="I39" s="217" t="s">
        <v>460</v>
      </c>
      <c r="J39" s="217" t="s">
        <v>462</v>
      </c>
      <c r="K39" s="216">
        <v>0</v>
      </c>
      <c r="L39" s="216">
        <v>1</v>
      </c>
      <c r="M39" s="217" t="s">
        <v>418</v>
      </c>
      <c r="N39" s="213">
        <v>1</v>
      </c>
      <c r="O39" s="218" t="s">
        <v>741</v>
      </c>
      <c r="P39" s="217" t="s">
        <v>741</v>
      </c>
      <c r="R39" s="303" t="s">
        <v>415</v>
      </c>
      <c r="S39" s="303" t="s">
        <v>416</v>
      </c>
      <c r="T39" s="216"/>
      <c r="V39" s="216" t="s">
        <v>418</v>
      </c>
    </row>
    <row r="40" spans="1:22" s="213" customFormat="1"/>
    <row r="41" spans="1:22" s="213" customFormat="1"/>
    <row r="42" spans="1:22" s="213" customFormat="1"/>
    <row r="43" spans="1:22" s="213" customFormat="1"/>
    <row r="44" spans="1:22" s="213" customFormat="1"/>
    <row r="45" spans="1:22" s="213" customFormat="1"/>
    <row r="46" spans="1:22" s="213" customFormat="1"/>
  </sheetData>
  <sheetProtection formatCells="0" insertHyperlinks="0" autoFilter="0"/>
  <autoFilter ref="A3:V39"/>
  <mergeCells count="1">
    <mergeCell ref="A1:F1"/>
  </mergeCells>
  <conditionalFormatting sqref="B3">
    <cfRule type="duplicateValues" dxfId="25" priority="1"/>
  </conditionalFormatting>
  <conditionalFormatting sqref="B1:B2">
    <cfRule type="duplicateValues" dxfId="24" priority="2"/>
  </conditionalFormatting>
  <pageMargins left="0.75" right="0.75" top="1" bottom="1" header="0.5" footer="0.5"/>
  <pageSetup paperSize="9"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14"/>
  <sheetViews>
    <sheetView workbookViewId="0">
      <selection activeCell="O34" sqref="O34"/>
    </sheetView>
  </sheetViews>
  <sheetFormatPr defaultColWidth="9" defaultRowHeight="12"/>
  <cols>
    <col min="1" max="1" width="7.85546875" style="92" customWidth="1"/>
    <col min="2" max="2" width="36.42578125" style="92" customWidth="1"/>
    <col min="3" max="4" width="34" style="92" customWidth="1"/>
    <col min="5" max="5" width="15.42578125" style="92" customWidth="1"/>
    <col min="6" max="6" width="14.7109375" style="92" customWidth="1"/>
    <col min="7" max="8" width="34.42578125" style="92" customWidth="1"/>
    <col min="9" max="9" width="15.42578125" style="92" customWidth="1"/>
    <col min="10" max="10" width="8.85546875" style="92" customWidth="1"/>
    <col min="11" max="11" width="10.7109375" style="92" customWidth="1"/>
    <col min="12" max="12" width="21.5703125" style="92" customWidth="1"/>
    <col min="13" max="13" width="8.85546875" style="92" customWidth="1"/>
    <col min="14" max="14" width="8.5703125" style="92" customWidth="1"/>
    <col min="15" max="15" width="8.85546875" style="92" customWidth="1"/>
    <col min="16" max="16384" width="9" style="92"/>
  </cols>
  <sheetData>
    <row r="1" spans="1:15">
      <c r="A1" s="327" t="s">
        <v>774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93"/>
      <c r="N1" s="93"/>
      <c r="O1" s="93"/>
    </row>
    <row r="2" spans="1: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>
      <c r="A3" s="93" t="s">
        <v>25</v>
      </c>
      <c r="B3" s="93" t="s">
        <v>43</v>
      </c>
      <c r="C3" s="94" t="s">
        <v>46</v>
      </c>
      <c r="D3" s="94" t="s">
        <v>50</v>
      </c>
      <c r="E3" s="94" t="s">
        <v>51</v>
      </c>
      <c r="F3" s="94" t="s">
        <v>113</v>
      </c>
      <c r="G3" s="94" t="s">
        <v>67</v>
      </c>
      <c r="H3" s="94" t="s">
        <v>100</v>
      </c>
      <c r="I3" s="94" t="s">
        <v>70</v>
      </c>
      <c r="J3" s="94" t="s">
        <v>71</v>
      </c>
      <c r="K3" s="94" t="s">
        <v>69</v>
      </c>
      <c r="L3" s="94" t="s">
        <v>72</v>
      </c>
      <c r="M3" s="94" t="s">
        <v>74</v>
      </c>
      <c r="N3" s="94" t="s">
        <v>61</v>
      </c>
      <c r="O3" s="93" t="s">
        <v>48</v>
      </c>
    </row>
    <row r="4" spans="1:15">
      <c r="A4" s="170"/>
      <c r="B4" s="171" t="str">
        <f t="shared" ref="B4:B10" si="0">C4</f>
        <v>CIMWorkflow</v>
      </c>
      <c r="C4" s="171" t="s">
        <v>775</v>
      </c>
      <c r="D4" s="172" t="s">
        <v>776</v>
      </c>
      <c r="E4" s="179" t="str">
        <f>D4</f>
        <v>工作流</v>
      </c>
      <c r="F4" s="171" t="b">
        <v>1</v>
      </c>
      <c r="G4" s="180"/>
      <c r="H4" s="180"/>
      <c r="I4" s="310" t="s">
        <v>415</v>
      </c>
      <c r="J4" s="311" t="s">
        <v>416</v>
      </c>
      <c r="K4" s="171" t="s">
        <v>777</v>
      </c>
      <c r="L4" s="171" t="s">
        <v>778</v>
      </c>
      <c r="M4" s="171" t="s">
        <v>664</v>
      </c>
      <c r="N4" s="171" t="b">
        <v>1</v>
      </c>
      <c r="O4" s="171" t="s">
        <v>418</v>
      </c>
    </row>
    <row r="5" spans="1:15">
      <c r="A5" s="170"/>
      <c r="B5" s="171" t="str">
        <f t="shared" si="0"/>
        <v>CIMWorkflowTemplate</v>
      </c>
      <c r="C5" s="171" t="s">
        <v>306</v>
      </c>
      <c r="D5" s="172" t="s">
        <v>305</v>
      </c>
      <c r="E5" s="172" t="s">
        <v>305</v>
      </c>
      <c r="F5" s="171" t="b">
        <v>1</v>
      </c>
      <c r="G5" s="180"/>
      <c r="H5" s="180"/>
      <c r="I5" s="310" t="s">
        <v>415</v>
      </c>
      <c r="J5" s="311" t="s">
        <v>416</v>
      </c>
      <c r="K5" s="171" t="s">
        <v>777</v>
      </c>
      <c r="L5" s="171" t="s">
        <v>779</v>
      </c>
      <c r="M5" s="171" t="s">
        <v>780</v>
      </c>
      <c r="N5" s="171" t="b">
        <v>1</v>
      </c>
      <c r="O5" s="171" t="s">
        <v>418</v>
      </c>
    </row>
    <row r="6" spans="1:15">
      <c r="A6" s="170"/>
      <c r="B6" s="171" t="str">
        <f t="shared" si="0"/>
        <v>CIMWorkflowStep</v>
      </c>
      <c r="C6" s="171" t="s">
        <v>781</v>
      </c>
      <c r="D6" s="172" t="s">
        <v>782</v>
      </c>
      <c r="E6" s="179" t="str">
        <f>D6</f>
        <v>工作流步骤</v>
      </c>
      <c r="F6" s="171" t="b">
        <v>1</v>
      </c>
      <c r="G6" s="180"/>
      <c r="H6" s="180"/>
      <c r="I6" s="310" t="s">
        <v>415</v>
      </c>
      <c r="J6" s="311" t="s">
        <v>416</v>
      </c>
      <c r="K6" s="171" t="s">
        <v>777</v>
      </c>
      <c r="L6" s="171" t="s">
        <v>783</v>
      </c>
      <c r="M6" s="171" t="s">
        <v>664</v>
      </c>
      <c r="N6" s="171" t="b">
        <v>1</v>
      </c>
      <c r="O6" s="171" t="s">
        <v>418</v>
      </c>
    </row>
    <row r="7" spans="1:15">
      <c r="A7" s="170"/>
      <c r="B7" s="171" t="str">
        <f t="shared" si="0"/>
        <v>CIMWorkflowStepTemplate</v>
      </c>
      <c r="C7" s="171" t="s">
        <v>328</v>
      </c>
      <c r="D7" s="172" t="s">
        <v>784</v>
      </c>
      <c r="E7" s="172" t="s">
        <v>784</v>
      </c>
      <c r="F7" s="171" t="b">
        <v>1</v>
      </c>
      <c r="G7" s="180"/>
      <c r="H7" s="180"/>
      <c r="I7" s="310" t="s">
        <v>415</v>
      </c>
      <c r="J7" s="311" t="s">
        <v>416</v>
      </c>
      <c r="K7" s="171" t="s">
        <v>777</v>
      </c>
      <c r="L7" s="171" t="s">
        <v>785</v>
      </c>
      <c r="M7" s="171" t="s">
        <v>780</v>
      </c>
      <c r="N7" s="171" t="b">
        <v>1</v>
      </c>
      <c r="O7" s="171" t="s">
        <v>418</v>
      </c>
    </row>
    <row r="8" spans="1:15">
      <c r="A8" s="170"/>
      <c r="B8" s="171" t="str">
        <f t="shared" si="0"/>
        <v>CIMWorkflowNotificationType</v>
      </c>
      <c r="C8" s="171" t="s">
        <v>321</v>
      </c>
      <c r="D8" s="172" t="s">
        <v>786</v>
      </c>
      <c r="E8" s="179" t="str">
        <f>D8</f>
        <v>工作流提醒类型</v>
      </c>
      <c r="F8" s="171" t="b">
        <v>1</v>
      </c>
      <c r="G8" s="173" t="s">
        <v>787</v>
      </c>
      <c r="H8" s="180"/>
      <c r="I8" s="310" t="s">
        <v>415</v>
      </c>
      <c r="J8" s="311" t="s">
        <v>416</v>
      </c>
      <c r="K8" s="171" t="s">
        <v>777</v>
      </c>
      <c r="L8" s="171" t="s">
        <v>788</v>
      </c>
      <c r="M8" s="171" t="s">
        <v>780</v>
      </c>
      <c r="N8" s="171" t="b">
        <v>1</v>
      </c>
      <c r="O8" s="171" t="s">
        <v>418</v>
      </c>
    </row>
    <row r="9" spans="1:15">
      <c r="A9" s="170"/>
      <c r="B9" s="171" t="str">
        <f t="shared" si="0"/>
        <v>CIMWorkflowStepCheckList</v>
      </c>
      <c r="C9" s="171" t="s">
        <v>789</v>
      </c>
      <c r="D9" s="172" t="s">
        <v>790</v>
      </c>
      <c r="E9" s="179" t="str">
        <f>D9</f>
        <v>工作流检查列表</v>
      </c>
      <c r="F9" s="171" t="b">
        <v>1</v>
      </c>
      <c r="G9" s="180"/>
      <c r="H9" s="180"/>
      <c r="I9" s="310" t="s">
        <v>415</v>
      </c>
      <c r="J9" s="311" t="s">
        <v>416</v>
      </c>
      <c r="K9" s="171" t="s">
        <v>777</v>
      </c>
      <c r="L9" s="171" t="s">
        <v>791</v>
      </c>
      <c r="M9" s="171" t="s">
        <v>664</v>
      </c>
      <c r="N9" s="171" t="b">
        <v>1</v>
      </c>
      <c r="O9" s="171" t="s">
        <v>418</v>
      </c>
    </row>
    <row r="10" spans="1:15">
      <c r="A10" s="170"/>
      <c r="B10" s="171" t="str">
        <f t="shared" si="0"/>
        <v>CIMWorkflowStepCheckListTemplate</v>
      </c>
      <c r="C10" s="173" t="s">
        <v>792</v>
      </c>
      <c r="D10" s="174" t="s">
        <v>793</v>
      </c>
      <c r="E10" s="174" t="s">
        <v>793</v>
      </c>
      <c r="F10" s="171" t="b">
        <v>1</v>
      </c>
      <c r="G10" s="173" t="s">
        <v>794</v>
      </c>
      <c r="H10" s="180"/>
      <c r="I10" s="310" t="s">
        <v>415</v>
      </c>
      <c r="J10" s="311" t="s">
        <v>416</v>
      </c>
      <c r="K10" s="171" t="s">
        <v>777</v>
      </c>
      <c r="L10" s="173" t="s">
        <v>795</v>
      </c>
      <c r="M10" s="171" t="s">
        <v>664</v>
      </c>
      <c r="N10" s="171" t="b">
        <v>1</v>
      </c>
      <c r="O10" s="171" t="s">
        <v>418</v>
      </c>
    </row>
    <row r="11" spans="1:15">
      <c r="A11" s="170"/>
      <c r="B11" s="171" t="str">
        <f t="shared" ref="B11:B17" si="1">C11</f>
        <v>CIMWorkflowStepCheckListItem</v>
      </c>
      <c r="C11" s="171" t="s">
        <v>796</v>
      </c>
      <c r="D11" s="172" t="s">
        <v>797</v>
      </c>
      <c r="E11" s="179" t="str">
        <f>D11</f>
        <v>工作流检查列表项</v>
      </c>
      <c r="F11" s="171" t="b">
        <v>1</v>
      </c>
      <c r="G11" s="180"/>
      <c r="H11" s="180"/>
      <c r="I11" s="310" t="s">
        <v>415</v>
      </c>
      <c r="J11" s="311" t="s">
        <v>416</v>
      </c>
      <c r="K11" s="171" t="s">
        <v>777</v>
      </c>
      <c r="L11" s="171" t="s">
        <v>798</v>
      </c>
      <c r="M11" s="171" t="s">
        <v>664</v>
      </c>
      <c r="N11" s="171" t="b">
        <v>1</v>
      </c>
      <c r="O11" s="171" t="s">
        <v>418</v>
      </c>
    </row>
    <row r="12" spans="1:15">
      <c r="A12" s="170"/>
      <c r="B12" s="171" t="str">
        <f t="shared" si="1"/>
        <v>CIMWorkflowCondition</v>
      </c>
      <c r="C12" s="171" t="s">
        <v>318</v>
      </c>
      <c r="D12" s="172" t="s">
        <v>799</v>
      </c>
      <c r="E12" s="179" t="str">
        <f>D12</f>
        <v>工作流条件</v>
      </c>
      <c r="F12" s="171" t="b">
        <v>1</v>
      </c>
      <c r="G12" s="173" t="s">
        <v>800</v>
      </c>
      <c r="H12" s="180"/>
      <c r="I12" s="310" t="s">
        <v>415</v>
      </c>
      <c r="J12" s="311" t="s">
        <v>416</v>
      </c>
      <c r="K12" s="171" t="s">
        <v>777</v>
      </c>
      <c r="L12" s="171" t="s">
        <v>801</v>
      </c>
      <c r="M12" s="171" t="s">
        <v>664</v>
      </c>
      <c r="N12" s="171" t="b">
        <v>1</v>
      </c>
      <c r="O12" s="171" t="s">
        <v>418</v>
      </c>
    </row>
    <row r="13" spans="1:15">
      <c r="A13" s="170"/>
      <c r="B13" s="171" t="str">
        <f t="shared" si="1"/>
        <v>CIMWorkflowStepDefinition</v>
      </c>
      <c r="C13" s="171" t="s">
        <v>309</v>
      </c>
      <c r="D13" s="172" t="s">
        <v>802</v>
      </c>
      <c r="E13" s="179" t="str">
        <f>D13</f>
        <v>工作流步骤定义</v>
      </c>
      <c r="F13" s="171" t="b">
        <v>1</v>
      </c>
      <c r="G13" s="173" t="s">
        <v>803</v>
      </c>
      <c r="H13" s="180"/>
      <c r="I13" s="310" t="s">
        <v>415</v>
      </c>
      <c r="J13" s="311" t="s">
        <v>416</v>
      </c>
      <c r="K13" s="171" t="s">
        <v>777</v>
      </c>
      <c r="L13" s="171" t="s">
        <v>804</v>
      </c>
      <c r="M13" s="171" t="s">
        <v>664</v>
      </c>
      <c r="N13" s="171" t="b">
        <v>1</v>
      </c>
      <c r="O13" s="171" t="s">
        <v>418</v>
      </c>
    </row>
    <row r="14" spans="1:15">
      <c r="A14" s="170"/>
      <c r="B14" s="171" t="str">
        <f t="shared" si="1"/>
        <v>CIMWorkflowStepClass</v>
      </c>
      <c r="C14" s="171" t="s">
        <v>312</v>
      </c>
      <c r="D14" s="172" t="s">
        <v>805</v>
      </c>
      <c r="E14" s="179" t="str">
        <f>D14</f>
        <v>工作流步骤分类</v>
      </c>
      <c r="F14" s="171" t="b">
        <v>1</v>
      </c>
      <c r="G14" s="173" t="s">
        <v>806</v>
      </c>
      <c r="H14" s="180"/>
      <c r="I14" s="310" t="s">
        <v>415</v>
      </c>
      <c r="J14" s="311" t="s">
        <v>416</v>
      </c>
      <c r="K14" s="171" t="s">
        <v>777</v>
      </c>
      <c r="L14" s="171" t="s">
        <v>807</v>
      </c>
      <c r="M14" s="171" t="s">
        <v>664</v>
      </c>
      <c r="N14" s="171" t="b">
        <v>1</v>
      </c>
      <c r="O14" s="171" t="s">
        <v>418</v>
      </c>
    </row>
    <row r="15" spans="1:15">
      <c r="A15" s="170"/>
      <c r="B15" s="171" t="str">
        <f t="shared" si="1"/>
        <v>CIMWorkflowStepStatus</v>
      </c>
      <c r="C15" s="171" t="s">
        <v>315</v>
      </c>
      <c r="D15" s="172" t="s">
        <v>498</v>
      </c>
      <c r="E15" s="179" t="str">
        <f>D15</f>
        <v>工作流步骤状态</v>
      </c>
      <c r="F15" s="171" t="b">
        <v>1</v>
      </c>
      <c r="G15" s="173" t="s">
        <v>808</v>
      </c>
      <c r="H15" s="180"/>
      <c r="I15" s="310" t="s">
        <v>415</v>
      </c>
      <c r="J15" s="311" t="s">
        <v>416</v>
      </c>
      <c r="K15" s="171" t="s">
        <v>777</v>
      </c>
      <c r="L15" s="171" t="s">
        <v>809</v>
      </c>
      <c r="M15" s="171" t="s">
        <v>780</v>
      </c>
      <c r="N15" s="171" t="b">
        <v>1</v>
      </c>
      <c r="O15" s="171" t="s">
        <v>418</v>
      </c>
    </row>
    <row r="16" spans="1:15">
      <c r="A16" s="101"/>
      <c r="B16" s="171" t="str">
        <f t="shared" si="1"/>
        <v>CIMWorkflowStepRecipient</v>
      </c>
      <c r="C16" s="171" t="s">
        <v>355</v>
      </c>
      <c r="D16" s="174" t="s">
        <v>354</v>
      </c>
      <c r="E16" s="174" t="s">
        <v>354</v>
      </c>
      <c r="F16" s="171" t="b">
        <v>1</v>
      </c>
      <c r="G16" s="180"/>
      <c r="H16" s="180"/>
      <c r="I16" s="310" t="s">
        <v>415</v>
      </c>
      <c r="J16" s="311" t="s">
        <v>416</v>
      </c>
      <c r="K16" s="171" t="s">
        <v>777</v>
      </c>
      <c r="L16" s="173" t="s">
        <v>810</v>
      </c>
      <c r="M16" s="171" t="s">
        <v>780</v>
      </c>
      <c r="N16" s="171" t="b">
        <v>1</v>
      </c>
      <c r="O16" s="171" t="s">
        <v>418</v>
      </c>
    </row>
    <row r="17" spans="1:15">
      <c r="A17" s="170"/>
      <c r="B17" s="171" t="str">
        <f t="shared" si="1"/>
        <v>CIMWorkflowCategory</v>
      </c>
      <c r="C17" s="173" t="s">
        <v>408</v>
      </c>
      <c r="D17" s="174" t="s">
        <v>407</v>
      </c>
      <c r="E17" s="174" t="s">
        <v>407</v>
      </c>
      <c r="F17" s="171" t="b">
        <v>1</v>
      </c>
      <c r="G17" s="173" t="s">
        <v>811</v>
      </c>
      <c r="H17" s="180"/>
      <c r="I17" s="310" t="s">
        <v>415</v>
      </c>
      <c r="J17" s="311" t="s">
        <v>416</v>
      </c>
      <c r="K17" s="171" t="s">
        <v>777</v>
      </c>
      <c r="L17" s="173" t="s">
        <v>812</v>
      </c>
      <c r="M17" s="171" t="s">
        <v>780</v>
      </c>
      <c r="N17" s="171" t="b">
        <v>1</v>
      </c>
      <c r="O17" s="171" t="s">
        <v>418</v>
      </c>
    </row>
    <row r="18" spans="1:1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>
      <c r="A19" s="93" t="s">
        <v>24</v>
      </c>
      <c r="B19" s="93" t="s">
        <v>43</v>
      </c>
      <c r="C19" s="94" t="s">
        <v>81</v>
      </c>
      <c r="D19" s="94" t="s">
        <v>76</v>
      </c>
      <c r="E19" s="94" t="s">
        <v>79</v>
      </c>
      <c r="F19" s="94" t="s">
        <v>83</v>
      </c>
      <c r="G19" s="94" t="s">
        <v>82</v>
      </c>
      <c r="H19" s="94" t="s">
        <v>78</v>
      </c>
      <c r="I19" s="94" t="s">
        <v>80</v>
      </c>
      <c r="J19" s="94" t="s">
        <v>84</v>
      </c>
      <c r="K19" s="94" t="s">
        <v>85</v>
      </c>
      <c r="L19" s="93" t="s">
        <v>48</v>
      </c>
      <c r="M19" s="2"/>
      <c r="N19" s="2"/>
      <c r="O19" s="2"/>
    </row>
    <row r="20" spans="1:15">
      <c r="A20" s="170"/>
      <c r="B20" s="175" t="str">
        <f t="shared" ref="B20:B25" si="2">F20&amp;"."&amp;C20&amp;"."&amp;G20</f>
        <v>Realizes.CIMWorkflow.IObject</v>
      </c>
      <c r="C20" s="175" t="s">
        <v>775</v>
      </c>
      <c r="D20" s="175" t="str">
        <f t="shared" ref="D20:D25" si="3">C20</f>
        <v>CIMWorkflow</v>
      </c>
      <c r="E20" s="175" t="s">
        <v>25</v>
      </c>
      <c r="F20" s="175" t="s">
        <v>27</v>
      </c>
      <c r="G20" s="175" t="s">
        <v>45</v>
      </c>
      <c r="H20" s="175" t="str">
        <f t="shared" ref="H20:H25" si="4">G20</f>
        <v>IObject</v>
      </c>
      <c r="I20" s="175" t="s">
        <v>21</v>
      </c>
      <c r="J20" s="175">
        <v>10</v>
      </c>
      <c r="K20" s="175" t="b">
        <v>1</v>
      </c>
      <c r="L20" s="175" t="s">
        <v>418</v>
      </c>
      <c r="M20" s="2"/>
      <c r="N20" s="2"/>
      <c r="O20" s="2"/>
    </row>
    <row r="21" spans="1:15">
      <c r="A21" s="170"/>
      <c r="B21" s="175" t="str">
        <f t="shared" si="2"/>
        <v>Realizes.CIMWorkflow.IObjectEx</v>
      </c>
      <c r="C21" s="175" t="s">
        <v>775</v>
      </c>
      <c r="D21" s="175" t="str">
        <f t="shared" si="3"/>
        <v>CIMWorkflow</v>
      </c>
      <c r="E21" s="175" t="s">
        <v>25</v>
      </c>
      <c r="F21" s="175" t="s">
        <v>27</v>
      </c>
      <c r="G21" s="175" t="s">
        <v>47</v>
      </c>
      <c r="H21" s="175" t="str">
        <f t="shared" si="4"/>
        <v>IObjectEx</v>
      </c>
      <c r="I21" s="175" t="s">
        <v>21</v>
      </c>
      <c r="J21" s="175">
        <v>20</v>
      </c>
      <c r="K21" s="175" t="b">
        <v>1</v>
      </c>
      <c r="L21" s="175" t="s">
        <v>418</v>
      </c>
      <c r="M21" s="2"/>
      <c r="N21" s="2"/>
      <c r="O21" s="2"/>
    </row>
    <row r="22" spans="1:15">
      <c r="A22" s="170"/>
      <c r="B22" s="175" t="str">
        <f t="shared" si="2"/>
        <v>Realizes.CIMWorkflow.ICIMConditionComposition</v>
      </c>
      <c r="C22" s="175" t="s">
        <v>775</v>
      </c>
      <c r="D22" s="175" t="str">
        <f t="shared" si="3"/>
        <v>CIMWorkflow</v>
      </c>
      <c r="E22" s="175" t="s">
        <v>25</v>
      </c>
      <c r="F22" s="175" t="s">
        <v>27</v>
      </c>
      <c r="G22" s="175" t="s">
        <v>668</v>
      </c>
      <c r="H22" s="175" t="str">
        <f t="shared" si="4"/>
        <v>ICIMConditionComposition</v>
      </c>
      <c r="I22" s="175" t="s">
        <v>21</v>
      </c>
      <c r="J22" s="175">
        <v>30</v>
      </c>
      <c r="K22" s="175" t="b">
        <v>1</v>
      </c>
      <c r="L22" s="175" t="s">
        <v>418</v>
      </c>
      <c r="M22" s="2"/>
      <c r="N22" s="2"/>
      <c r="O22" s="2"/>
    </row>
    <row r="23" spans="1:15">
      <c r="A23" s="170"/>
      <c r="B23" s="175" t="str">
        <f t="shared" si="2"/>
        <v>Realizes.CIMWorkflow.ICIMWorkflow</v>
      </c>
      <c r="C23" s="175" t="s">
        <v>775</v>
      </c>
      <c r="D23" s="175" t="str">
        <f t="shared" si="3"/>
        <v>CIMWorkflow</v>
      </c>
      <c r="E23" s="175" t="s">
        <v>25</v>
      </c>
      <c r="F23" s="175" t="s">
        <v>27</v>
      </c>
      <c r="G23" s="175" t="s">
        <v>390</v>
      </c>
      <c r="H23" s="175" t="str">
        <f t="shared" si="4"/>
        <v>ICIMWorkflow</v>
      </c>
      <c r="I23" s="175" t="s">
        <v>21</v>
      </c>
      <c r="J23" s="175">
        <v>40</v>
      </c>
      <c r="K23" s="175" t="b">
        <v>1</v>
      </c>
      <c r="L23" s="175" t="s">
        <v>418</v>
      </c>
      <c r="M23" s="2"/>
      <c r="N23" s="2"/>
      <c r="O23" s="2"/>
    </row>
    <row r="24" spans="1:15">
      <c r="A24" s="170"/>
      <c r="B24" s="176" t="str">
        <f t="shared" si="2"/>
        <v>Realizes.CIMWorkflow.ICIMWorkflowObject</v>
      </c>
      <c r="C24" s="176" t="s">
        <v>775</v>
      </c>
      <c r="D24" s="176" t="str">
        <f t="shared" si="3"/>
        <v>CIMWorkflow</v>
      </c>
      <c r="E24" s="176" t="s">
        <v>25</v>
      </c>
      <c r="F24" s="176" t="s">
        <v>27</v>
      </c>
      <c r="G24" s="181" t="s">
        <v>421</v>
      </c>
      <c r="H24" s="175" t="str">
        <f t="shared" si="4"/>
        <v>ICIMWorkflowObject</v>
      </c>
      <c r="I24" s="176" t="s">
        <v>21</v>
      </c>
      <c r="J24" s="176">
        <v>50</v>
      </c>
      <c r="K24" s="176" t="b">
        <v>1</v>
      </c>
      <c r="L24" s="176" t="s">
        <v>418</v>
      </c>
      <c r="M24" s="2"/>
      <c r="N24" s="2"/>
      <c r="O24" s="2"/>
    </row>
    <row r="25" spans="1:15">
      <c r="A25" s="170"/>
      <c r="B25" s="176" t="str">
        <f t="shared" si="2"/>
        <v>Realizes.CIMWorkflow.ICIMWorkflowFlowPart</v>
      </c>
      <c r="C25" s="176" t="s">
        <v>775</v>
      </c>
      <c r="D25" s="176" t="str">
        <f t="shared" si="3"/>
        <v>CIMWorkflow</v>
      </c>
      <c r="E25" s="176" t="s">
        <v>25</v>
      </c>
      <c r="F25" s="176" t="s">
        <v>27</v>
      </c>
      <c r="G25" s="181" t="s">
        <v>413</v>
      </c>
      <c r="H25" s="175" t="str">
        <f t="shared" si="4"/>
        <v>ICIMWorkflowFlowPart</v>
      </c>
      <c r="I25" s="176" t="s">
        <v>21</v>
      </c>
      <c r="J25" s="176">
        <v>50</v>
      </c>
      <c r="K25" s="176" t="b">
        <v>1</v>
      </c>
      <c r="L25" s="176" t="s">
        <v>418</v>
      </c>
      <c r="M25" s="2"/>
      <c r="N25" s="2"/>
      <c r="O25" s="2"/>
    </row>
    <row r="26" spans="1:15">
      <c r="A26" s="170"/>
      <c r="B26" s="177" t="str">
        <f t="shared" ref="B26:B31" si="5">F26&amp;"."&amp;C26&amp;"."&amp;G26</f>
        <v>Realizes.CIMWorkflowTemplate.IObject</v>
      </c>
      <c r="C26" s="177" t="s">
        <v>306</v>
      </c>
      <c r="D26" s="177" t="str">
        <f t="shared" ref="D26:D31" si="6">C26</f>
        <v>CIMWorkflowTemplate</v>
      </c>
      <c r="E26" s="177" t="s">
        <v>25</v>
      </c>
      <c r="F26" s="177" t="s">
        <v>27</v>
      </c>
      <c r="G26" s="177" t="s">
        <v>45</v>
      </c>
      <c r="H26" s="175" t="str">
        <f t="shared" ref="H26:H31" si="7">G26</f>
        <v>IObject</v>
      </c>
      <c r="I26" s="177" t="s">
        <v>21</v>
      </c>
      <c r="J26" s="177">
        <v>10</v>
      </c>
      <c r="K26" s="177" t="b">
        <v>1</v>
      </c>
      <c r="L26" s="177" t="s">
        <v>418</v>
      </c>
      <c r="M26" s="2"/>
      <c r="N26" s="2"/>
      <c r="O26" s="2"/>
    </row>
    <row r="27" spans="1:15">
      <c r="A27" s="170"/>
      <c r="B27" s="177" t="str">
        <f t="shared" si="5"/>
        <v>Realizes.CIMWorkflowTemplate.IObjectEx</v>
      </c>
      <c r="C27" s="177" t="s">
        <v>306</v>
      </c>
      <c r="D27" s="177" t="str">
        <f t="shared" si="6"/>
        <v>CIMWorkflowTemplate</v>
      </c>
      <c r="E27" s="177" t="s">
        <v>25</v>
      </c>
      <c r="F27" s="177" t="s">
        <v>27</v>
      </c>
      <c r="G27" s="177" t="s">
        <v>47</v>
      </c>
      <c r="H27" s="175" t="str">
        <f t="shared" si="7"/>
        <v>IObjectEx</v>
      </c>
      <c r="I27" s="177" t="s">
        <v>21</v>
      </c>
      <c r="J27" s="177">
        <v>20</v>
      </c>
      <c r="K27" s="177" t="b">
        <v>1</v>
      </c>
      <c r="L27" s="177" t="s">
        <v>418</v>
      </c>
      <c r="M27" s="2"/>
      <c r="N27" s="2"/>
      <c r="O27" s="2"/>
    </row>
    <row r="28" spans="1:15">
      <c r="A28" s="170"/>
      <c r="B28" s="177" t="str">
        <f t="shared" si="5"/>
        <v>Realizes.CIMWorkflowTemplate.ICIMConditionComposition</v>
      </c>
      <c r="C28" s="177" t="s">
        <v>306</v>
      </c>
      <c r="D28" s="177" t="str">
        <f t="shared" si="6"/>
        <v>CIMWorkflowTemplate</v>
      </c>
      <c r="E28" s="177" t="s">
        <v>25</v>
      </c>
      <c r="F28" s="177" t="s">
        <v>27</v>
      </c>
      <c r="G28" s="177" t="s">
        <v>668</v>
      </c>
      <c r="H28" s="175" t="str">
        <f t="shared" si="7"/>
        <v>ICIMConditionComposition</v>
      </c>
      <c r="I28" s="177" t="s">
        <v>21</v>
      </c>
      <c r="J28" s="177">
        <v>30</v>
      </c>
      <c r="K28" s="177" t="b">
        <v>1</v>
      </c>
      <c r="L28" s="177" t="s">
        <v>418</v>
      </c>
      <c r="M28" s="2"/>
      <c r="N28" s="2"/>
      <c r="O28" s="2"/>
    </row>
    <row r="29" spans="1:15">
      <c r="A29" s="170"/>
      <c r="B29" s="177" t="str">
        <f t="shared" si="5"/>
        <v>Realizes.CIMWorkflowTemplate.ICIMWorkflow</v>
      </c>
      <c r="C29" s="177" t="s">
        <v>306</v>
      </c>
      <c r="D29" s="177" t="str">
        <f t="shared" si="6"/>
        <v>CIMWorkflowTemplate</v>
      </c>
      <c r="E29" s="177" t="s">
        <v>25</v>
      </c>
      <c r="F29" s="177" t="s">
        <v>27</v>
      </c>
      <c r="G29" s="177" t="s">
        <v>390</v>
      </c>
      <c r="H29" s="175" t="str">
        <f t="shared" si="7"/>
        <v>ICIMWorkflow</v>
      </c>
      <c r="I29" s="177" t="s">
        <v>21</v>
      </c>
      <c r="J29" s="177">
        <v>40</v>
      </c>
      <c r="K29" s="177" t="b">
        <v>1</v>
      </c>
      <c r="L29" s="177" t="s">
        <v>418</v>
      </c>
      <c r="M29" s="2"/>
      <c r="N29" s="2"/>
      <c r="O29" s="2"/>
    </row>
    <row r="30" spans="1:15">
      <c r="A30" s="170"/>
      <c r="B30" s="177" t="str">
        <f t="shared" si="5"/>
        <v>Realizes.CIMWorkflowTemplate.ICIMWorkflowTemplate</v>
      </c>
      <c r="C30" s="177" t="s">
        <v>306</v>
      </c>
      <c r="D30" s="177" t="str">
        <f t="shared" si="6"/>
        <v>CIMWorkflowTemplate</v>
      </c>
      <c r="E30" s="177" t="s">
        <v>25</v>
      </c>
      <c r="F30" s="177" t="s">
        <v>27</v>
      </c>
      <c r="G30" s="182" t="s">
        <v>372</v>
      </c>
      <c r="H30" s="175" t="str">
        <f t="shared" si="7"/>
        <v>ICIMWorkflowTemplate</v>
      </c>
      <c r="I30" s="177" t="s">
        <v>21</v>
      </c>
      <c r="J30" s="177">
        <v>50</v>
      </c>
      <c r="K30" s="177" t="b">
        <v>1</v>
      </c>
      <c r="L30" s="177" t="s">
        <v>418</v>
      </c>
      <c r="M30" s="2"/>
      <c r="N30" s="2"/>
      <c r="O30" s="2"/>
    </row>
    <row r="31" spans="1:15">
      <c r="A31" s="170"/>
      <c r="B31" s="177" t="str">
        <f t="shared" si="5"/>
        <v>Realizes.CIMWorkflowTemplate.ICIMWorkflowFlowPart</v>
      </c>
      <c r="C31" s="177" t="s">
        <v>306</v>
      </c>
      <c r="D31" s="177" t="str">
        <f t="shared" si="6"/>
        <v>CIMWorkflowTemplate</v>
      </c>
      <c r="E31" s="177" t="s">
        <v>25</v>
      </c>
      <c r="F31" s="177" t="s">
        <v>27</v>
      </c>
      <c r="G31" s="182" t="s">
        <v>413</v>
      </c>
      <c r="H31" s="175" t="str">
        <f t="shared" si="7"/>
        <v>ICIMWorkflowFlowPart</v>
      </c>
      <c r="I31" s="177" t="s">
        <v>21</v>
      </c>
      <c r="J31" s="177">
        <v>60</v>
      </c>
      <c r="K31" s="177" t="b">
        <v>1</v>
      </c>
      <c r="L31" s="177" t="s">
        <v>418</v>
      </c>
      <c r="M31" s="2"/>
      <c r="N31" s="2"/>
      <c r="O31" s="2"/>
    </row>
    <row r="32" spans="1:15">
      <c r="A32" s="170"/>
      <c r="B32" s="178" t="str">
        <f t="shared" ref="B32:B36" si="8">F32&amp;"."&amp;C32&amp;"."&amp;G32</f>
        <v>Realizes.CIMWorkflowStep.IObject</v>
      </c>
      <c r="C32" s="178" t="s">
        <v>781</v>
      </c>
      <c r="D32" s="178" t="str">
        <f t="shared" ref="D32:D36" si="9">C32</f>
        <v>CIMWorkflowStep</v>
      </c>
      <c r="E32" s="178" t="s">
        <v>25</v>
      </c>
      <c r="F32" s="178" t="s">
        <v>27</v>
      </c>
      <c r="G32" s="178" t="s">
        <v>45</v>
      </c>
      <c r="H32" s="175" t="str">
        <f t="shared" ref="H32:H36" si="10">G32</f>
        <v>IObject</v>
      </c>
      <c r="I32" s="178" t="s">
        <v>21</v>
      </c>
      <c r="J32" s="178">
        <v>10</v>
      </c>
      <c r="K32" s="178" t="b">
        <v>1</v>
      </c>
      <c r="L32" s="178" t="s">
        <v>418</v>
      </c>
      <c r="M32" s="2"/>
      <c r="N32" s="2"/>
      <c r="O32" s="2"/>
    </row>
    <row r="33" spans="1:15">
      <c r="A33" s="170"/>
      <c r="B33" s="183" t="str">
        <f t="shared" si="8"/>
        <v>Realizes.CIMWorkflowStep.IObjectEx</v>
      </c>
      <c r="C33" s="183" t="s">
        <v>781</v>
      </c>
      <c r="D33" s="183" t="str">
        <f t="shared" si="9"/>
        <v>CIMWorkflowStep</v>
      </c>
      <c r="E33" s="183" t="s">
        <v>25</v>
      </c>
      <c r="F33" s="183" t="s">
        <v>27</v>
      </c>
      <c r="G33" s="183" t="s">
        <v>47</v>
      </c>
      <c r="H33" s="175" t="str">
        <f t="shared" si="10"/>
        <v>IObjectEx</v>
      </c>
      <c r="I33" s="183" t="s">
        <v>21</v>
      </c>
      <c r="J33" s="183">
        <v>20</v>
      </c>
      <c r="K33" s="183" t="b">
        <v>1</v>
      </c>
      <c r="L33" s="183" t="s">
        <v>418</v>
      </c>
      <c r="M33" s="2"/>
      <c r="N33" s="2"/>
      <c r="O33" s="2"/>
    </row>
    <row r="34" spans="1:15">
      <c r="A34" s="170"/>
      <c r="B34" s="183" t="str">
        <f t="shared" si="8"/>
        <v>Realizes.CIMWorkflowStep.ICIMWorkflowStep</v>
      </c>
      <c r="C34" s="183" t="s">
        <v>781</v>
      </c>
      <c r="D34" s="183" t="str">
        <f t="shared" si="9"/>
        <v>CIMWorkflowStep</v>
      </c>
      <c r="E34" s="183" t="s">
        <v>25</v>
      </c>
      <c r="F34" s="183" t="s">
        <v>27</v>
      </c>
      <c r="G34" s="183" t="s">
        <v>296</v>
      </c>
      <c r="H34" s="175" t="str">
        <f t="shared" si="10"/>
        <v>ICIMWorkflowStep</v>
      </c>
      <c r="I34" s="183" t="s">
        <v>21</v>
      </c>
      <c r="J34" s="183">
        <v>30</v>
      </c>
      <c r="K34" s="183" t="b">
        <v>1</v>
      </c>
      <c r="L34" s="183" t="s">
        <v>418</v>
      </c>
      <c r="M34" s="2"/>
      <c r="N34" s="2"/>
      <c r="O34" s="2"/>
    </row>
    <row r="35" spans="1:15">
      <c r="A35" s="170"/>
      <c r="B35" s="184" t="str">
        <f t="shared" si="8"/>
        <v>Realizes.CIMWorkflowStep.ICIMWorkflowStepObject</v>
      </c>
      <c r="C35" s="184" t="s">
        <v>781</v>
      </c>
      <c r="D35" s="184" t="str">
        <f t="shared" si="9"/>
        <v>CIMWorkflowStep</v>
      </c>
      <c r="E35" s="184" t="s">
        <v>25</v>
      </c>
      <c r="F35" s="184" t="s">
        <v>27</v>
      </c>
      <c r="G35" s="184" t="s">
        <v>431</v>
      </c>
      <c r="H35" s="175" t="str">
        <f t="shared" si="10"/>
        <v>ICIMWorkflowStepObject</v>
      </c>
      <c r="I35" s="184" t="s">
        <v>21</v>
      </c>
      <c r="J35" s="184">
        <v>50</v>
      </c>
      <c r="K35" s="184" t="b">
        <v>1</v>
      </c>
      <c r="L35" s="184" t="s">
        <v>418</v>
      </c>
      <c r="M35" s="2"/>
      <c r="N35" s="2"/>
      <c r="O35" s="2"/>
    </row>
    <row r="36" spans="1:15">
      <c r="A36" s="170"/>
      <c r="B36" s="184" t="str">
        <f t="shared" si="8"/>
        <v>Realizes.CIMWorkflowStep.ICIMWorkflowFlowPart</v>
      </c>
      <c r="C36" s="184" t="s">
        <v>781</v>
      </c>
      <c r="D36" s="184" t="str">
        <f t="shared" si="9"/>
        <v>CIMWorkflowStep</v>
      </c>
      <c r="E36" s="184" t="s">
        <v>25</v>
      </c>
      <c r="F36" s="184" t="s">
        <v>27</v>
      </c>
      <c r="G36" s="184" t="s">
        <v>413</v>
      </c>
      <c r="H36" s="175" t="str">
        <f t="shared" si="10"/>
        <v>ICIMWorkflowFlowPart</v>
      </c>
      <c r="I36" s="184" t="s">
        <v>21</v>
      </c>
      <c r="J36" s="184">
        <v>70</v>
      </c>
      <c r="K36" s="184" t="b">
        <v>1</v>
      </c>
      <c r="L36" s="184" t="s">
        <v>418</v>
      </c>
      <c r="M36" s="2"/>
      <c r="N36" s="2"/>
      <c r="O36" s="2"/>
    </row>
    <row r="37" spans="1:15">
      <c r="A37" s="170"/>
      <c r="B37" s="185" t="str">
        <f t="shared" ref="B37:B40" si="11">F37&amp;"."&amp;C37&amp;"."&amp;G37</f>
        <v>Realizes.CIMWorkflowStepTemplate.IObject</v>
      </c>
      <c r="C37" s="185" t="s">
        <v>328</v>
      </c>
      <c r="D37" s="185" t="str">
        <f t="shared" ref="D37:D40" si="12">C37</f>
        <v>CIMWorkflowStepTemplate</v>
      </c>
      <c r="E37" s="185" t="s">
        <v>25</v>
      </c>
      <c r="F37" s="185" t="s">
        <v>27</v>
      </c>
      <c r="G37" s="185" t="s">
        <v>45</v>
      </c>
      <c r="H37" s="175" t="str">
        <f t="shared" ref="H37:H40" si="13">G37</f>
        <v>IObject</v>
      </c>
      <c r="I37" s="185" t="s">
        <v>21</v>
      </c>
      <c r="J37" s="185">
        <v>10</v>
      </c>
      <c r="K37" s="185" t="b">
        <v>1</v>
      </c>
      <c r="L37" s="185" t="s">
        <v>418</v>
      </c>
      <c r="M37" s="2"/>
      <c r="N37" s="2"/>
      <c r="O37" s="2"/>
    </row>
    <row r="38" spans="1:15">
      <c r="A38" s="170"/>
      <c r="B38" s="185" t="str">
        <f t="shared" si="11"/>
        <v>Realizes.CIMWorkflowStepTemplate.IObjectEx</v>
      </c>
      <c r="C38" s="185" t="s">
        <v>328</v>
      </c>
      <c r="D38" s="185" t="str">
        <f t="shared" si="12"/>
        <v>CIMWorkflowStepTemplate</v>
      </c>
      <c r="E38" s="185" t="s">
        <v>25</v>
      </c>
      <c r="F38" s="185" t="s">
        <v>27</v>
      </c>
      <c r="G38" s="185" t="s">
        <v>47</v>
      </c>
      <c r="H38" s="175" t="str">
        <f t="shared" si="13"/>
        <v>IObjectEx</v>
      </c>
      <c r="I38" s="185" t="s">
        <v>21</v>
      </c>
      <c r="J38" s="185">
        <v>20</v>
      </c>
      <c r="K38" s="185" t="b">
        <v>1</v>
      </c>
      <c r="L38" s="185" t="s">
        <v>418</v>
      </c>
      <c r="M38" s="2"/>
      <c r="N38" s="2"/>
      <c r="O38" s="2"/>
    </row>
    <row r="39" spans="1:15">
      <c r="A39" s="170"/>
      <c r="B39" s="185" t="str">
        <f t="shared" si="11"/>
        <v>Realizes.CIMWorkflowStepTemplate.ICIMWorkflowStep</v>
      </c>
      <c r="C39" s="185" t="s">
        <v>328</v>
      </c>
      <c r="D39" s="185" t="str">
        <f t="shared" si="12"/>
        <v>CIMWorkflowStepTemplate</v>
      </c>
      <c r="E39" s="185" t="s">
        <v>25</v>
      </c>
      <c r="F39" s="185" t="s">
        <v>27</v>
      </c>
      <c r="G39" s="185" t="s">
        <v>296</v>
      </c>
      <c r="H39" s="175" t="str">
        <f t="shared" si="13"/>
        <v>ICIMWorkflowStep</v>
      </c>
      <c r="I39" s="185" t="s">
        <v>21</v>
      </c>
      <c r="J39" s="185">
        <v>30</v>
      </c>
      <c r="K39" s="185" t="b">
        <v>1</v>
      </c>
      <c r="L39" s="185" t="s">
        <v>418</v>
      </c>
      <c r="M39" s="2"/>
      <c r="N39" s="2"/>
      <c r="O39" s="2"/>
    </row>
    <row r="40" spans="1:15">
      <c r="A40" s="170"/>
      <c r="B40" s="185" t="str">
        <f t="shared" si="11"/>
        <v>Realizes.CIMWorkflowStepTemplate.ICIMWorkflowStepTemplate</v>
      </c>
      <c r="C40" s="185" t="s">
        <v>328</v>
      </c>
      <c r="D40" s="185" t="str">
        <f t="shared" si="12"/>
        <v>CIMWorkflowStepTemplate</v>
      </c>
      <c r="E40" s="185" t="s">
        <v>25</v>
      </c>
      <c r="F40" s="185" t="s">
        <v>27</v>
      </c>
      <c r="G40" s="185" t="s">
        <v>404</v>
      </c>
      <c r="H40" s="175" t="str">
        <f t="shared" si="13"/>
        <v>ICIMWorkflowStepTemplate</v>
      </c>
      <c r="I40" s="185" t="s">
        <v>21</v>
      </c>
      <c r="J40" s="185">
        <v>40</v>
      </c>
      <c r="K40" s="185" t="b">
        <v>1</v>
      </c>
      <c r="L40" s="185" t="s">
        <v>418</v>
      </c>
      <c r="M40" s="2"/>
      <c r="N40" s="2"/>
      <c r="O40" s="2"/>
    </row>
    <row r="41" spans="1:15">
      <c r="A41" s="170"/>
      <c r="B41" s="185" t="str">
        <f t="shared" ref="B41:B56" si="14">F41&amp;"."&amp;C41&amp;"."&amp;G41</f>
        <v>Realizes.CIMWorkflowStepTemplate.ICIMWorkflowFlowPart</v>
      </c>
      <c r="C41" s="185" t="s">
        <v>328</v>
      </c>
      <c r="D41" s="185" t="str">
        <f t="shared" ref="D41:D56" si="15">C41</f>
        <v>CIMWorkflowStepTemplate</v>
      </c>
      <c r="E41" s="185" t="s">
        <v>25</v>
      </c>
      <c r="F41" s="185" t="s">
        <v>27</v>
      </c>
      <c r="G41" s="185" t="s">
        <v>413</v>
      </c>
      <c r="H41" s="175" t="str">
        <f t="shared" ref="H41:H87" si="16">G41</f>
        <v>ICIMWorkflowFlowPart</v>
      </c>
      <c r="I41" s="185" t="s">
        <v>21</v>
      </c>
      <c r="J41" s="185">
        <v>50</v>
      </c>
      <c r="K41" s="185" t="b">
        <v>1</v>
      </c>
      <c r="L41" s="185" t="s">
        <v>418</v>
      </c>
      <c r="M41" s="2"/>
      <c r="N41" s="2"/>
      <c r="O41" s="2"/>
    </row>
    <row r="42" spans="1:15">
      <c r="A42" s="170"/>
      <c r="B42" s="186" t="str">
        <f t="shared" si="14"/>
        <v>Realizes.CIMWorkflowNotificationType.IObject</v>
      </c>
      <c r="C42" s="186" t="s">
        <v>321</v>
      </c>
      <c r="D42" s="186" t="str">
        <f t="shared" si="15"/>
        <v>CIMWorkflowNotificationType</v>
      </c>
      <c r="E42" s="186" t="s">
        <v>25</v>
      </c>
      <c r="F42" s="186" t="s">
        <v>27</v>
      </c>
      <c r="G42" s="186" t="s">
        <v>45</v>
      </c>
      <c r="H42" s="175" t="str">
        <f t="shared" si="16"/>
        <v>IObject</v>
      </c>
      <c r="I42" s="186" t="s">
        <v>21</v>
      </c>
      <c r="J42" s="186">
        <v>10</v>
      </c>
      <c r="K42" s="186" t="b">
        <v>1</v>
      </c>
      <c r="L42" s="186" t="s">
        <v>418</v>
      </c>
      <c r="M42" s="2"/>
      <c r="N42" s="2"/>
      <c r="O42" s="2"/>
    </row>
    <row r="43" spans="1:15">
      <c r="A43" s="170"/>
      <c r="B43" s="187" t="str">
        <f t="shared" si="14"/>
        <v>Realizes.CIMWorkflowNotificationType.IObjectEx</v>
      </c>
      <c r="C43" s="187" t="s">
        <v>321</v>
      </c>
      <c r="D43" s="187" t="str">
        <f t="shared" si="15"/>
        <v>CIMWorkflowNotificationType</v>
      </c>
      <c r="E43" s="187" t="s">
        <v>25</v>
      </c>
      <c r="F43" s="187" t="s">
        <v>27</v>
      </c>
      <c r="G43" s="187" t="s">
        <v>47</v>
      </c>
      <c r="H43" s="175" t="str">
        <f t="shared" si="16"/>
        <v>IObjectEx</v>
      </c>
      <c r="I43" s="187" t="s">
        <v>21</v>
      </c>
      <c r="J43" s="187">
        <v>20</v>
      </c>
      <c r="K43" s="187" t="b">
        <v>1</v>
      </c>
      <c r="L43" s="187" t="s">
        <v>418</v>
      </c>
      <c r="M43" s="2"/>
      <c r="N43" s="2"/>
      <c r="O43" s="2"/>
    </row>
    <row r="44" spans="1:15">
      <c r="A44" s="170"/>
      <c r="B44" s="187" t="str">
        <f t="shared" si="14"/>
        <v>Realizes.CIMWorkflowNotificationType.ICIMWorkflowNotificationType</v>
      </c>
      <c r="C44" s="187" t="s">
        <v>321</v>
      </c>
      <c r="D44" s="187" t="str">
        <f t="shared" si="15"/>
        <v>CIMWorkflowNotificationType</v>
      </c>
      <c r="E44" s="187" t="s">
        <v>25</v>
      </c>
      <c r="F44" s="187" t="s">
        <v>27</v>
      </c>
      <c r="G44" s="187" t="s">
        <v>425</v>
      </c>
      <c r="H44" s="175" t="str">
        <f t="shared" si="16"/>
        <v>ICIMWorkflowNotificationType</v>
      </c>
      <c r="I44" s="187" t="s">
        <v>21</v>
      </c>
      <c r="J44" s="187">
        <v>30</v>
      </c>
      <c r="K44" s="187" t="b">
        <v>1</v>
      </c>
      <c r="L44" s="187" t="s">
        <v>418</v>
      </c>
      <c r="M44" s="2"/>
      <c r="N44" s="2"/>
      <c r="O44" s="2"/>
    </row>
    <row r="45" spans="1:15">
      <c r="A45" s="170"/>
      <c r="B45" s="188" t="str">
        <f t="shared" si="14"/>
        <v>Realizes.CIMWorkflowStepCheckList.IObject</v>
      </c>
      <c r="C45" s="188" t="s">
        <v>789</v>
      </c>
      <c r="D45" s="188" t="str">
        <f t="shared" si="15"/>
        <v>CIMWorkflowStepCheckList</v>
      </c>
      <c r="E45" s="188" t="s">
        <v>25</v>
      </c>
      <c r="F45" s="188" t="s">
        <v>27</v>
      </c>
      <c r="G45" s="188" t="s">
        <v>45</v>
      </c>
      <c r="H45" s="175" t="str">
        <f t="shared" si="16"/>
        <v>IObject</v>
      </c>
      <c r="I45" s="188" t="s">
        <v>21</v>
      </c>
      <c r="J45" s="188">
        <v>10</v>
      </c>
      <c r="K45" s="188" t="b">
        <v>1</v>
      </c>
      <c r="L45" s="188" t="s">
        <v>418</v>
      </c>
      <c r="M45" s="2"/>
      <c r="N45" s="2"/>
      <c r="O45" s="2"/>
    </row>
    <row r="46" spans="1:15">
      <c r="A46" s="170"/>
      <c r="B46" s="188" t="str">
        <f t="shared" si="14"/>
        <v>Realizes.CIMWorkflowStepCheckList.IObjectEx</v>
      </c>
      <c r="C46" s="188" t="s">
        <v>789</v>
      </c>
      <c r="D46" s="188" t="str">
        <f t="shared" si="15"/>
        <v>CIMWorkflowStepCheckList</v>
      </c>
      <c r="E46" s="188" t="s">
        <v>25</v>
      </c>
      <c r="F46" s="188" t="s">
        <v>27</v>
      </c>
      <c r="G46" s="188" t="s">
        <v>47</v>
      </c>
      <c r="H46" s="175" t="str">
        <f t="shared" si="16"/>
        <v>IObjectEx</v>
      </c>
      <c r="I46" s="188" t="s">
        <v>21</v>
      </c>
      <c r="J46" s="188">
        <v>20</v>
      </c>
      <c r="K46" s="188" t="b">
        <v>1</v>
      </c>
      <c r="L46" s="188" t="s">
        <v>418</v>
      </c>
      <c r="M46" s="2"/>
      <c r="N46" s="2"/>
      <c r="O46" s="2"/>
    </row>
    <row r="47" spans="1:15">
      <c r="A47" s="170"/>
      <c r="B47" s="188" t="str">
        <f t="shared" si="14"/>
        <v>Realizes.CIMWorkflowStepCheckList.ICIMWorkflowStepCheckListObject</v>
      </c>
      <c r="C47" s="188" t="s">
        <v>789</v>
      </c>
      <c r="D47" s="188" t="str">
        <f t="shared" si="15"/>
        <v>CIMWorkflowStepCheckList</v>
      </c>
      <c r="E47" s="188" t="s">
        <v>25</v>
      </c>
      <c r="F47" s="188" t="s">
        <v>27</v>
      </c>
      <c r="G47" s="188" t="s">
        <v>439</v>
      </c>
      <c r="H47" s="175" t="str">
        <f t="shared" si="16"/>
        <v>ICIMWorkflowStepCheckListObject</v>
      </c>
      <c r="I47" s="188" t="s">
        <v>21</v>
      </c>
      <c r="J47" s="188">
        <v>40</v>
      </c>
      <c r="K47" s="188" t="b">
        <v>1</v>
      </c>
      <c r="L47" s="188" t="s">
        <v>418</v>
      </c>
      <c r="M47" s="2"/>
      <c r="N47" s="2"/>
      <c r="O47" s="2"/>
    </row>
    <row r="48" spans="1:15">
      <c r="A48" s="170"/>
      <c r="B48" s="188" t="str">
        <f t="shared" si="14"/>
        <v>Realizes.CIMWorkflowStepCheckList.ICIMWorkflowStepCheckList</v>
      </c>
      <c r="C48" s="188" t="s">
        <v>789</v>
      </c>
      <c r="D48" s="188" t="str">
        <f t="shared" si="15"/>
        <v>CIMWorkflowStepCheckList</v>
      </c>
      <c r="E48" s="188" t="s">
        <v>25</v>
      </c>
      <c r="F48" s="188" t="s">
        <v>27</v>
      </c>
      <c r="G48" s="188" t="s">
        <v>437</v>
      </c>
      <c r="H48" s="175" t="str">
        <f t="shared" si="16"/>
        <v>ICIMWorkflowStepCheckList</v>
      </c>
      <c r="I48" s="188" t="s">
        <v>21</v>
      </c>
      <c r="J48" s="188">
        <v>50</v>
      </c>
      <c r="K48" s="188" t="b">
        <v>1</v>
      </c>
      <c r="L48" s="188" t="s">
        <v>418</v>
      </c>
      <c r="M48" s="2"/>
      <c r="N48" s="2"/>
      <c r="O48" s="2"/>
    </row>
    <row r="49" spans="1:15">
      <c r="A49" s="170"/>
      <c r="B49" s="189" t="str">
        <f t="shared" si="14"/>
        <v>Realizes.CIMWorkflowStepCheckListTemplate.IObject</v>
      </c>
      <c r="C49" s="190" t="s">
        <v>792</v>
      </c>
      <c r="D49" s="189" t="str">
        <f t="shared" si="15"/>
        <v>CIMWorkflowStepCheckListTemplate</v>
      </c>
      <c r="E49" s="189" t="s">
        <v>25</v>
      </c>
      <c r="F49" s="189" t="s">
        <v>27</v>
      </c>
      <c r="G49" s="189" t="s">
        <v>45</v>
      </c>
      <c r="H49" s="175" t="str">
        <f t="shared" si="16"/>
        <v>IObject</v>
      </c>
      <c r="I49" s="189" t="s">
        <v>21</v>
      </c>
      <c r="J49" s="189">
        <v>10</v>
      </c>
      <c r="K49" s="189" t="b">
        <v>1</v>
      </c>
      <c r="L49" s="189" t="s">
        <v>418</v>
      </c>
      <c r="M49" s="2"/>
      <c r="N49" s="2"/>
      <c r="O49" s="2"/>
    </row>
    <row r="50" spans="1:15">
      <c r="A50" s="170"/>
      <c r="B50" s="189" t="str">
        <f t="shared" si="14"/>
        <v>Realizes.CIMWorkflowStepCheckListTemplate.IObjectEx</v>
      </c>
      <c r="C50" s="190" t="s">
        <v>792</v>
      </c>
      <c r="D50" s="189" t="str">
        <f t="shared" si="15"/>
        <v>CIMWorkflowStepCheckListTemplate</v>
      </c>
      <c r="E50" s="189" t="s">
        <v>25</v>
      </c>
      <c r="F50" s="189" t="s">
        <v>27</v>
      </c>
      <c r="G50" s="189" t="s">
        <v>47</v>
      </c>
      <c r="H50" s="175" t="str">
        <f t="shared" si="16"/>
        <v>IObjectEx</v>
      </c>
      <c r="I50" s="189" t="s">
        <v>21</v>
      </c>
      <c r="J50" s="189">
        <v>20</v>
      </c>
      <c r="K50" s="189" t="b">
        <v>1</v>
      </c>
      <c r="L50" s="189" t="s">
        <v>418</v>
      </c>
      <c r="M50" s="2"/>
      <c r="N50" s="2"/>
      <c r="O50" s="2"/>
    </row>
    <row r="51" spans="1:15">
      <c r="A51" s="170"/>
      <c r="B51" s="189" t="str">
        <f t="shared" si="14"/>
        <v>Realizes.CIMWorkflowStepCheckListTemplate.ICIMWorkflowStepCheckListTemplate</v>
      </c>
      <c r="C51" s="190" t="s">
        <v>792</v>
      </c>
      <c r="D51" s="189" t="str">
        <f t="shared" si="15"/>
        <v>CIMWorkflowStepCheckListTemplate</v>
      </c>
      <c r="E51" s="189" t="s">
        <v>25</v>
      </c>
      <c r="F51" s="189" t="s">
        <v>27</v>
      </c>
      <c r="G51" s="189" t="s">
        <v>441</v>
      </c>
      <c r="H51" s="175" t="str">
        <f t="shared" si="16"/>
        <v>ICIMWorkflowStepCheckListTemplate</v>
      </c>
      <c r="I51" s="189" t="s">
        <v>21</v>
      </c>
      <c r="J51" s="189">
        <v>30</v>
      </c>
      <c r="K51" s="189" t="b">
        <v>1</v>
      </c>
      <c r="L51" s="189" t="s">
        <v>418</v>
      </c>
      <c r="M51" s="2"/>
      <c r="N51" s="2"/>
      <c r="O51" s="2"/>
    </row>
    <row r="52" spans="1:15">
      <c r="A52" s="170"/>
      <c r="B52" s="189" t="str">
        <f t="shared" si="14"/>
        <v>Realizes.CIMWorkflowStepCheckListTemplate.ICIMWorkflowStepCheckList</v>
      </c>
      <c r="C52" s="190" t="s">
        <v>792</v>
      </c>
      <c r="D52" s="189" t="str">
        <f t="shared" si="15"/>
        <v>CIMWorkflowStepCheckListTemplate</v>
      </c>
      <c r="E52" s="189" t="s">
        <v>25</v>
      </c>
      <c r="F52" s="189" t="s">
        <v>27</v>
      </c>
      <c r="G52" s="189" t="s">
        <v>437</v>
      </c>
      <c r="H52" s="175" t="str">
        <f t="shared" si="16"/>
        <v>ICIMWorkflowStepCheckList</v>
      </c>
      <c r="I52" s="189" t="s">
        <v>21</v>
      </c>
      <c r="J52" s="189">
        <v>50</v>
      </c>
      <c r="K52" s="189" t="b">
        <v>1</v>
      </c>
      <c r="L52" s="189" t="s">
        <v>418</v>
      </c>
      <c r="M52" s="2"/>
      <c r="N52" s="2"/>
      <c r="O52" s="2"/>
    </row>
    <row r="53" spans="1:15">
      <c r="A53" s="170"/>
      <c r="B53" s="183" t="str">
        <f t="shared" si="14"/>
        <v>Realizes.CIMWorkflowStepCheckListItem.IObject</v>
      </c>
      <c r="C53" s="183" t="s">
        <v>796</v>
      </c>
      <c r="D53" s="183" t="str">
        <f t="shared" si="15"/>
        <v>CIMWorkflowStepCheckListItem</v>
      </c>
      <c r="E53" s="183" t="s">
        <v>25</v>
      </c>
      <c r="F53" s="183" t="s">
        <v>27</v>
      </c>
      <c r="G53" s="183" t="s">
        <v>45</v>
      </c>
      <c r="H53" s="175" t="str">
        <f t="shared" si="16"/>
        <v>IObject</v>
      </c>
      <c r="I53" s="183" t="s">
        <v>21</v>
      </c>
      <c r="J53" s="183">
        <v>10</v>
      </c>
      <c r="K53" s="183" t="b">
        <v>1</v>
      </c>
      <c r="L53" s="183" t="s">
        <v>418</v>
      </c>
      <c r="M53" s="2"/>
      <c r="N53" s="2"/>
      <c r="O53" s="2"/>
    </row>
    <row r="54" spans="1:15">
      <c r="A54" s="170"/>
      <c r="B54" s="183" t="str">
        <f t="shared" si="14"/>
        <v>Realizes.CIMWorkflowStepCheckListItem.IObjectEx</v>
      </c>
      <c r="C54" s="183" t="s">
        <v>796</v>
      </c>
      <c r="D54" s="183" t="str">
        <f t="shared" si="15"/>
        <v>CIMWorkflowStepCheckListItem</v>
      </c>
      <c r="E54" s="183" t="s">
        <v>25</v>
      </c>
      <c r="F54" s="183" t="s">
        <v>27</v>
      </c>
      <c r="G54" s="183" t="s">
        <v>47</v>
      </c>
      <c r="H54" s="175" t="str">
        <f t="shared" si="16"/>
        <v>IObjectEx</v>
      </c>
      <c r="I54" s="183" t="s">
        <v>21</v>
      </c>
      <c r="J54" s="183">
        <v>20</v>
      </c>
      <c r="K54" s="183" t="b">
        <v>1</v>
      </c>
      <c r="L54" s="183" t="s">
        <v>418</v>
      </c>
      <c r="M54" s="2"/>
      <c r="N54" s="2"/>
      <c r="O54" s="2"/>
    </row>
    <row r="55" spans="1:15">
      <c r="A55" s="170"/>
      <c r="B55" s="183" t="str">
        <f t="shared" si="14"/>
        <v>Realizes.CIMWorkflowStepCheckListItem.ICIMWorkflowStepCheckListItem</v>
      </c>
      <c r="C55" s="183" t="s">
        <v>796</v>
      </c>
      <c r="D55" s="183" t="str">
        <f t="shared" si="15"/>
        <v>CIMWorkflowStepCheckListItem</v>
      </c>
      <c r="E55" s="183" t="s">
        <v>25</v>
      </c>
      <c r="F55" s="183" t="s">
        <v>27</v>
      </c>
      <c r="G55" s="183" t="s">
        <v>443</v>
      </c>
      <c r="H55" s="175" t="str">
        <f t="shared" si="16"/>
        <v>ICIMWorkflowStepCheckListItem</v>
      </c>
      <c r="I55" s="183" t="s">
        <v>21</v>
      </c>
      <c r="J55" s="183">
        <v>30</v>
      </c>
      <c r="K55" s="183" t="b">
        <v>1</v>
      </c>
      <c r="L55" s="183" t="s">
        <v>418</v>
      </c>
      <c r="M55" s="2"/>
      <c r="N55" s="2"/>
      <c r="O55" s="2"/>
    </row>
    <row r="56" spans="1:15">
      <c r="A56" s="170"/>
      <c r="B56" s="191" t="str">
        <f t="shared" si="14"/>
        <v>Realizes.CIMWorkflowCondition.IObject</v>
      </c>
      <c r="C56" s="191" t="s">
        <v>318</v>
      </c>
      <c r="D56" s="191" t="str">
        <f t="shared" si="15"/>
        <v>CIMWorkflowCondition</v>
      </c>
      <c r="E56" s="191" t="s">
        <v>25</v>
      </c>
      <c r="F56" s="191" t="s">
        <v>27</v>
      </c>
      <c r="G56" s="191" t="s">
        <v>45</v>
      </c>
      <c r="H56" s="175" t="str">
        <f t="shared" si="16"/>
        <v>IObject</v>
      </c>
      <c r="I56" s="191" t="s">
        <v>21</v>
      </c>
      <c r="J56" s="191">
        <v>10</v>
      </c>
      <c r="K56" s="191" t="b">
        <v>1</v>
      </c>
      <c r="L56" s="191" t="s">
        <v>418</v>
      </c>
      <c r="M56" s="2"/>
      <c r="N56" s="2"/>
      <c r="O56" s="2"/>
    </row>
    <row r="57" spans="1:15">
      <c r="A57" s="170"/>
      <c r="B57" s="191" t="str">
        <f t="shared" ref="B57:B62" si="17">F57&amp;"."&amp;C57&amp;"."&amp;G57</f>
        <v>Realizes.CIMWorkflowCondition.IObjectEx</v>
      </c>
      <c r="C57" s="191" t="s">
        <v>318</v>
      </c>
      <c r="D57" s="191" t="str">
        <f t="shared" ref="D57:D62" si="18">C57</f>
        <v>CIMWorkflowCondition</v>
      </c>
      <c r="E57" s="191" t="s">
        <v>25</v>
      </c>
      <c r="F57" s="191" t="s">
        <v>27</v>
      </c>
      <c r="G57" s="191" t="s">
        <v>47</v>
      </c>
      <c r="H57" s="175" t="str">
        <f t="shared" si="16"/>
        <v>IObjectEx</v>
      </c>
      <c r="I57" s="191" t="s">
        <v>21</v>
      </c>
      <c r="J57" s="191">
        <v>20</v>
      </c>
      <c r="K57" s="191" t="b">
        <v>1</v>
      </c>
      <c r="L57" s="191" t="s">
        <v>418</v>
      </c>
      <c r="M57" s="2"/>
      <c r="N57" s="2"/>
      <c r="O57" s="2"/>
    </row>
    <row r="58" spans="1:15">
      <c r="A58" s="170"/>
      <c r="B58" s="191" t="str">
        <f t="shared" si="17"/>
        <v>Realizes.CIMWorkflowCondition.ICIMCondition</v>
      </c>
      <c r="C58" s="191" t="s">
        <v>318</v>
      </c>
      <c r="D58" s="191" t="str">
        <f t="shared" si="18"/>
        <v>CIMWorkflowCondition</v>
      </c>
      <c r="E58" s="191" t="s">
        <v>25</v>
      </c>
      <c r="F58" s="191" t="s">
        <v>27</v>
      </c>
      <c r="G58" s="191" t="s">
        <v>365</v>
      </c>
      <c r="H58" s="175" t="str">
        <f t="shared" si="16"/>
        <v>ICIMCondition</v>
      </c>
      <c r="I58" s="191" t="s">
        <v>21</v>
      </c>
      <c r="J58" s="191">
        <v>30</v>
      </c>
      <c r="K58" s="191" t="b">
        <v>1</v>
      </c>
      <c r="L58" s="191" t="s">
        <v>418</v>
      </c>
      <c r="M58" s="2"/>
      <c r="N58" s="2"/>
      <c r="O58" s="2"/>
    </row>
    <row r="59" spans="1:15">
      <c r="A59" s="170"/>
      <c r="B59" s="191" t="str">
        <f t="shared" si="17"/>
        <v>Realizes.CIMWorkflowCondition.ICIMWorkflowCondition</v>
      </c>
      <c r="C59" s="191" t="s">
        <v>318</v>
      </c>
      <c r="D59" s="191" t="str">
        <f t="shared" si="18"/>
        <v>CIMWorkflowCondition</v>
      </c>
      <c r="E59" s="191" t="s">
        <v>25</v>
      </c>
      <c r="F59" s="191" t="s">
        <v>27</v>
      </c>
      <c r="G59" s="191" t="s">
        <v>423</v>
      </c>
      <c r="H59" s="175" t="str">
        <f t="shared" si="16"/>
        <v>ICIMWorkflowCondition</v>
      </c>
      <c r="I59" s="191" t="s">
        <v>21</v>
      </c>
      <c r="J59" s="191">
        <v>40</v>
      </c>
      <c r="K59" s="191" t="b">
        <v>1</v>
      </c>
      <c r="L59" s="191" t="s">
        <v>418</v>
      </c>
      <c r="M59" s="2"/>
      <c r="N59" s="2"/>
      <c r="O59" s="2"/>
    </row>
    <row r="60" spans="1:15">
      <c r="A60" s="170"/>
      <c r="B60" s="192" t="str">
        <f t="shared" si="17"/>
        <v>Realizes.CIMWorkflowStepDefinition.IObject</v>
      </c>
      <c r="C60" s="192" t="s">
        <v>309</v>
      </c>
      <c r="D60" s="192" t="str">
        <f t="shared" si="18"/>
        <v>CIMWorkflowStepDefinition</v>
      </c>
      <c r="E60" s="192" t="s">
        <v>25</v>
      </c>
      <c r="F60" s="192" t="s">
        <v>27</v>
      </c>
      <c r="G60" s="192" t="s">
        <v>45</v>
      </c>
      <c r="H60" s="175" t="str">
        <f t="shared" si="16"/>
        <v>IObject</v>
      </c>
      <c r="I60" s="192" t="s">
        <v>21</v>
      </c>
      <c r="J60" s="192">
        <v>10</v>
      </c>
      <c r="K60" s="192" t="b">
        <v>1</v>
      </c>
      <c r="L60" s="192" t="s">
        <v>418</v>
      </c>
      <c r="M60" s="2"/>
      <c r="N60" s="2"/>
      <c r="O60" s="2"/>
    </row>
    <row r="61" spans="1:15">
      <c r="A61" s="170"/>
      <c r="B61" s="192" t="str">
        <f t="shared" si="17"/>
        <v>Realizes.CIMWorkflowStepDefinition.IObjectEx</v>
      </c>
      <c r="C61" s="192" t="s">
        <v>309</v>
      </c>
      <c r="D61" s="192" t="str">
        <f t="shared" si="18"/>
        <v>CIMWorkflowStepDefinition</v>
      </c>
      <c r="E61" s="192" t="s">
        <v>25</v>
      </c>
      <c r="F61" s="192" t="s">
        <v>27</v>
      </c>
      <c r="G61" s="192" t="s">
        <v>47</v>
      </c>
      <c r="H61" s="175" t="str">
        <f t="shared" si="16"/>
        <v>IObjectEx</v>
      </c>
      <c r="I61" s="192" t="s">
        <v>21</v>
      </c>
      <c r="J61" s="192">
        <v>20</v>
      </c>
      <c r="K61" s="192" t="b">
        <v>1</v>
      </c>
      <c r="L61" s="192" t="s">
        <v>418</v>
      </c>
      <c r="M61" s="2"/>
      <c r="N61" s="2"/>
      <c r="O61" s="2"/>
    </row>
    <row r="62" spans="1:15">
      <c r="A62" s="170"/>
      <c r="B62" s="192" t="str">
        <f t="shared" si="17"/>
        <v>Realizes.CIMWorkflowStepDefinition.ICIMWorkflowStepLegend</v>
      </c>
      <c r="C62" s="192" t="s">
        <v>309</v>
      </c>
      <c r="D62" s="192" t="str">
        <f t="shared" si="18"/>
        <v>CIMWorkflowStepDefinition</v>
      </c>
      <c r="E62" s="192" t="s">
        <v>25</v>
      </c>
      <c r="F62" s="192" t="s">
        <v>27</v>
      </c>
      <c r="G62" s="192" t="s">
        <v>393</v>
      </c>
      <c r="H62" s="175" t="str">
        <f t="shared" si="16"/>
        <v>ICIMWorkflowStepLegend</v>
      </c>
      <c r="I62" s="192" t="s">
        <v>21</v>
      </c>
      <c r="J62" s="192">
        <v>40</v>
      </c>
      <c r="K62" s="192" t="b">
        <v>1</v>
      </c>
      <c r="L62" s="192" t="s">
        <v>418</v>
      </c>
      <c r="M62" s="2"/>
      <c r="N62" s="2"/>
      <c r="O62" s="2"/>
    </row>
    <row r="63" spans="1:15">
      <c r="A63" s="170"/>
      <c r="B63" s="192" t="str">
        <f t="shared" ref="B63:B92" si="19">F63&amp;"."&amp;C63&amp;"."&amp;G63</f>
        <v>Realizes.CIMWorkflowStepDefinition.ICIMWorkflowStepDefinition</v>
      </c>
      <c r="C63" s="192" t="s">
        <v>309</v>
      </c>
      <c r="D63" s="192" t="str">
        <f t="shared" ref="D63:D75" si="20">C63</f>
        <v>CIMWorkflowStepDefinition</v>
      </c>
      <c r="E63" s="192" t="s">
        <v>25</v>
      </c>
      <c r="F63" s="192" t="s">
        <v>27</v>
      </c>
      <c r="G63" s="192" t="s">
        <v>368</v>
      </c>
      <c r="H63" s="175" t="str">
        <f t="shared" si="16"/>
        <v>ICIMWorkflowStepDefinition</v>
      </c>
      <c r="I63" s="192" t="s">
        <v>21</v>
      </c>
      <c r="J63" s="192">
        <v>30</v>
      </c>
      <c r="K63" s="192" t="b">
        <v>1</v>
      </c>
      <c r="L63" s="192" t="s">
        <v>418</v>
      </c>
      <c r="M63" s="2"/>
      <c r="N63" s="2"/>
      <c r="O63" s="2"/>
    </row>
    <row r="64" spans="1:15">
      <c r="A64" s="104"/>
      <c r="B64" s="193" t="str">
        <f t="shared" si="19"/>
        <v>Realizes.CIMWorkflowStepClass.IObject</v>
      </c>
      <c r="C64" s="193" t="s">
        <v>312</v>
      </c>
      <c r="D64" s="193" t="str">
        <f t="shared" si="20"/>
        <v>CIMWorkflowStepClass</v>
      </c>
      <c r="E64" s="193" t="s">
        <v>25</v>
      </c>
      <c r="F64" s="193" t="s">
        <v>27</v>
      </c>
      <c r="G64" s="194" t="s">
        <v>45</v>
      </c>
      <c r="H64" s="175" t="str">
        <f t="shared" si="16"/>
        <v>IObject</v>
      </c>
      <c r="I64" s="193" t="s">
        <v>21</v>
      </c>
      <c r="J64" s="193">
        <v>10</v>
      </c>
      <c r="K64" s="193" t="b">
        <v>1</v>
      </c>
      <c r="L64" s="193" t="s">
        <v>418</v>
      </c>
      <c r="M64" s="104"/>
      <c r="N64" s="104"/>
      <c r="O64" s="104"/>
    </row>
    <row r="65" spans="1:15">
      <c r="A65" s="104"/>
      <c r="B65" s="193" t="str">
        <f t="shared" si="19"/>
        <v>Realizes.CIMWorkflowStepClass.IObjectEx</v>
      </c>
      <c r="C65" s="193" t="s">
        <v>312</v>
      </c>
      <c r="D65" s="193" t="str">
        <f t="shared" si="20"/>
        <v>CIMWorkflowStepClass</v>
      </c>
      <c r="E65" s="193" t="s">
        <v>25</v>
      </c>
      <c r="F65" s="193" t="s">
        <v>27</v>
      </c>
      <c r="G65" s="194" t="s">
        <v>47</v>
      </c>
      <c r="H65" s="175" t="str">
        <f t="shared" si="16"/>
        <v>IObjectEx</v>
      </c>
      <c r="I65" s="193" t="s">
        <v>21</v>
      </c>
      <c r="J65" s="194">
        <v>20</v>
      </c>
      <c r="K65" s="193" t="b">
        <v>1</v>
      </c>
      <c r="L65" s="193" t="s">
        <v>418</v>
      </c>
      <c r="M65" s="104"/>
      <c r="N65" s="104"/>
      <c r="O65" s="104"/>
    </row>
    <row r="66" spans="1:15">
      <c r="A66" s="104"/>
      <c r="B66" s="193" t="str">
        <f t="shared" si="19"/>
        <v>Realizes.CIMWorkflowStepClass.ICIMWorkflowStepClass</v>
      </c>
      <c r="C66" s="193" t="s">
        <v>312</v>
      </c>
      <c r="D66" s="193" t="str">
        <f t="shared" si="20"/>
        <v>CIMWorkflowStepClass</v>
      </c>
      <c r="E66" s="193" t="s">
        <v>25</v>
      </c>
      <c r="F66" s="193" t="s">
        <v>27</v>
      </c>
      <c r="G66" s="194" t="s">
        <v>411</v>
      </c>
      <c r="H66" s="175" t="str">
        <f t="shared" si="16"/>
        <v>ICIMWorkflowStepClass</v>
      </c>
      <c r="I66" s="193" t="s">
        <v>21</v>
      </c>
      <c r="J66" s="193">
        <v>30</v>
      </c>
      <c r="K66" s="193" t="b">
        <v>1</v>
      </c>
      <c r="L66" s="193" t="s">
        <v>418</v>
      </c>
      <c r="M66" s="104"/>
      <c r="N66" s="104"/>
      <c r="O66" s="104"/>
    </row>
    <row r="67" spans="1:15">
      <c r="A67" s="104"/>
      <c r="B67" s="195" t="str">
        <f t="shared" si="19"/>
        <v>Realizes.CIMInbox.ICIMWorkflowInbox</v>
      </c>
      <c r="C67" s="196" t="s">
        <v>813</v>
      </c>
      <c r="D67" s="195" t="str">
        <f t="shared" si="20"/>
        <v>CIMInbox</v>
      </c>
      <c r="E67" s="195" t="s">
        <v>25</v>
      </c>
      <c r="F67" s="195" t="s">
        <v>27</v>
      </c>
      <c r="G67" s="199" t="s">
        <v>449</v>
      </c>
      <c r="H67" s="175" t="str">
        <f t="shared" si="16"/>
        <v>ICIMWorkflowInbox</v>
      </c>
      <c r="I67" s="195" t="s">
        <v>21</v>
      </c>
      <c r="J67" s="199">
        <v>40</v>
      </c>
      <c r="K67" s="195" t="b">
        <v>0</v>
      </c>
      <c r="L67" s="195" t="s">
        <v>418</v>
      </c>
      <c r="M67" s="104"/>
      <c r="N67" s="104"/>
      <c r="O67" s="104"/>
    </row>
    <row r="68" spans="1:15">
      <c r="A68" s="104"/>
      <c r="B68" s="197" t="str">
        <f t="shared" si="19"/>
        <v>Realizes.CIMWorkflowStepStatus.IObject</v>
      </c>
      <c r="C68" s="198" t="s">
        <v>315</v>
      </c>
      <c r="D68" s="197" t="str">
        <f t="shared" si="20"/>
        <v>CIMWorkflowStepStatus</v>
      </c>
      <c r="E68" s="197" t="s">
        <v>25</v>
      </c>
      <c r="F68" s="197" t="s">
        <v>27</v>
      </c>
      <c r="G68" s="206" t="s">
        <v>45</v>
      </c>
      <c r="H68" s="175" t="str">
        <f t="shared" si="16"/>
        <v>IObject</v>
      </c>
      <c r="I68" s="197" t="s">
        <v>21</v>
      </c>
      <c r="J68" s="197">
        <v>10</v>
      </c>
      <c r="K68" s="197" t="b">
        <v>1</v>
      </c>
      <c r="L68" s="197" t="s">
        <v>418</v>
      </c>
      <c r="M68" s="104"/>
      <c r="N68" s="104"/>
      <c r="O68" s="104"/>
    </row>
    <row r="69" spans="1:15">
      <c r="A69" s="104"/>
      <c r="B69" s="197" t="str">
        <f t="shared" si="19"/>
        <v>Realizes.CIMWorkflowStepStatus.IObjectEx</v>
      </c>
      <c r="C69" s="198" t="s">
        <v>315</v>
      </c>
      <c r="D69" s="197" t="str">
        <f t="shared" si="20"/>
        <v>CIMWorkflowStepStatus</v>
      </c>
      <c r="E69" s="197" t="s">
        <v>25</v>
      </c>
      <c r="F69" s="197" t="s">
        <v>27</v>
      </c>
      <c r="G69" s="206" t="s">
        <v>47</v>
      </c>
      <c r="H69" s="175" t="str">
        <f t="shared" si="16"/>
        <v>IObjectEx</v>
      </c>
      <c r="I69" s="197" t="s">
        <v>21</v>
      </c>
      <c r="J69" s="206">
        <v>20</v>
      </c>
      <c r="K69" s="197" t="b">
        <v>1</v>
      </c>
      <c r="L69" s="197" t="s">
        <v>418</v>
      </c>
      <c r="M69" s="104"/>
      <c r="N69" s="104"/>
      <c r="O69" s="104"/>
    </row>
    <row r="70" spans="1:15">
      <c r="A70" s="104"/>
      <c r="B70" s="197" t="str">
        <f t="shared" si="19"/>
        <v>Realizes.CIMWorkflowStepStatus.ICIMWorkflowStepStatus</v>
      </c>
      <c r="C70" s="198" t="s">
        <v>315</v>
      </c>
      <c r="D70" s="197" t="str">
        <f t="shared" si="20"/>
        <v>CIMWorkflowStepStatus</v>
      </c>
      <c r="E70" s="197" t="s">
        <v>25</v>
      </c>
      <c r="F70" s="197" t="s">
        <v>27</v>
      </c>
      <c r="G70" s="198" t="s">
        <v>435</v>
      </c>
      <c r="H70" s="175" t="str">
        <f t="shared" si="16"/>
        <v>ICIMWorkflowStepStatus</v>
      </c>
      <c r="I70" s="197" t="s">
        <v>21</v>
      </c>
      <c r="J70" s="206">
        <v>30</v>
      </c>
      <c r="K70" s="197" t="b">
        <v>1</v>
      </c>
      <c r="L70" s="197" t="s">
        <v>418</v>
      </c>
      <c r="M70" s="104"/>
      <c r="N70" s="104"/>
      <c r="O70" s="104"/>
    </row>
    <row r="71" spans="1:15">
      <c r="A71" s="104"/>
      <c r="B71" s="199" t="str">
        <f t="shared" si="19"/>
        <v>Realizes.CIMMethod.ICIMWorkflowMethod</v>
      </c>
      <c r="C71" s="199" t="s">
        <v>352</v>
      </c>
      <c r="D71" s="199" t="str">
        <f t="shared" si="20"/>
        <v>CIMMethod</v>
      </c>
      <c r="E71" s="199" t="s">
        <v>25</v>
      </c>
      <c r="F71" s="199" t="s">
        <v>27</v>
      </c>
      <c r="G71" s="199" t="s">
        <v>447</v>
      </c>
      <c r="H71" s="175" t="str">
        <f t="shared" si="16"/>
        <v>ICIMWorkflowMethod</v>
      </c>
      <c r="I71" s="199" t="s">
        <v>21</v>
      </c>
      <c r="J71" s="199">
        <v>40</v>
      </c>
      <c r="K71" s="199" t="b">
        <v>0</v>
      </c>
      <c r="L71" s="199" t="s">
        <v>418</v>
      </c>
      <c r="M71" s="104"/>
      <c r="N71" s="104"/>
      <c r="O71" s="104"/>
    </row>
    <row r="72" spans="1:15">
      <c r="A72" s="104"/>
      <c r="B72" s="118" t="str">
        <f t="shared" si="19"/>
        <v>Realizes.CIMWorkflowStepRecipient.IObject</v>
      </c>
      <c r="C72" s="118" t="s">
        <v>355</v>
      </c>
      <c r="D72" s="164" t="str">
        <f t="shared" si="20"/>
        <v>CIMWorkflowStepRecipient</v>
      </c>
      <c r="E72" s="118" t="s">
        <v>25</v>
      </c>
      <c r="F72" s="118" t="s">
        <v>27</v>
      </c>
      <c r="G72" s="118" t="s">
        <v>45</v>
      </c>
      <c r="H72" s="175" t="str">
        <f t="shared" si="16"/>
        <v>IObject</v>
      </c>
      <c r="I72" s="164" t="s">
        <v>21</v>
      </c>
      <c r="J72" s="164">
        <v>10</v>
      </c>
      <c r="K72" s="164" t="b">
        <v>1</v>
      </c>
      <c r="L72" s="164" t="s">
        <v>418</v>
      </c>
      <c r="M72" s="104"/>
      <c r="N72" s="104"/>
      <c r="O72" s="104"/>
    </row>
    <row r="73" spans="1:15">
      <c r="A73" s="104"/>
      <c r="B73" s="118" t="str">
        <f t="shared" si="19"/>
        <v>Realizes.CIMWorkflowStepRecipient.IObjectEx</v>
      </c>
      <c r="C73" s="118" t="s">
        <v>355</v>
      </c>
      <c r="D73" s="164" t="str">
        <f t="shared" si="20"/>
        <v>CIMWorkflowStepRecipient</v>
      </c>
      <c r="E73" s="118" t="s">
        <v>25</v>
      </c>
      <c r="F73" s="118" t="s">
        <v>27</v>
      </c>
      <c r="G73" s="118" t="s">
        <v>47</v>
      </c>
      <c r="H73" s="175" t="str">
        <f t="shared" si="16"/>
        <v>IObjectEx</v>
      </c>
      <c r="I73" s="164" t="s">
        <v>21</v>
      </c>
      <c r="J73" s="118">
        <v>20</v>
      </c>
      <c r="K73" s="164" t="b">
        <v>1</v>
      </c>
      <c r="L73" s="164" t="s">
        <v>418</v>
      </c>
      <c r="M73" s="104"/>
      <c r="N73" s="104"/>
      <c r="O73" s="104"/>
    </row>
    <row r="74" spans="1:15">
      <c r="A74" s="104"/>
      <c r="B74" s="118" t="str">
        <f t="shared" si="19"/>
        <v>Realizes.CIMWorkflowStepRecipient.ICIMRecipient</v>
      </c>
      <c r="C74" s="118" t="s">
        <v>355</v>
      </c>
      <c r="D74" s="164" t="str">
        <f t="shared" si="20"/>
        <v>CIMWorkflowStepRecipient</v>
      </c>
      <c r="E74" s="118" t="s">
        <v>25</v>
      </c>
      <c r="F74" s="118" t="s">
        <v>27</v>
      </c>
      <c r="G74" s="158" t="s">
        <v>465</v>
      </c>
      <c r="H74" s="175" t="str">
        <f t="shared" si="16"/>
        <v>ICIMRecipient</v>
      </c>
      <c r="I74" s="164" t="s">
        <v>21</v>
      </c>
      <c r="J74" s="118">
        <v>30</v>
      </c>
      <c r="K74" s="164" t="b">
        <v>1</v>
      </c>
      <c r="L74" s="164" t="s">
        <v>418</v>
      </c>
      <c r="M74" s="104"/>
      <c r="N74" s="104"/>
      <c r="O74" s="104"/>
    </row>
    <row r="75" spans="1:15">
      <c r="A75" s="104"/>
      <c r="B75" s="118" t="str">
        <f t="shared" si="19"/>
        <v>Realizes.CIMWorkflowStepRecipient.ICIMWorkflowStepRecipient</v>
      </c>
      <c r="C75" s="118" t="s">
        <v>355</v>
      </c>
      <c r="D75" s="164" t="str">
        <f t="shared" si="20"/>
        <v>CIMWorkflowStepRecipient</v>
      </c>
      <c r="E75" s="118" t="s">
        <v>25</v>
      </c>
      <c r="F75" s="118" t="s">
        <v>27</v>
      </c>
      <c r="G75" s="158" t="s">
        <v>460</v>
      </c>
      <c r="H75" s="175" t="str">
        <f t="shared" si="16"/>
        <v>ICIMWorkflowStepRecipient</v>
      </c>
      <c r="I75" s="164" t="s">
        <v>21</v>
      </c>
      <c r="J75" s="118">
        <v>30</v>
      </c>
      <c r="K75" s="164" t="b">
        <v>1</v>
      </c>
      <c r="L75" s="164" t="s">
        <v>418</v>
      </c>
      <c r="M75" s="104"/>
      <c r="N75" s="104"/>
      <c r="O75" s="104"/>
    </row>
    <row r="76" spans="1:15">
      <c r="A76" s="104"/>
      <c r="B76" s="195" t="str">
        <f t="shared" si="19"/>
        <v>Realizes.CIMInboxMessage.ICIMWorkflowInboxMessage</v>
      </c>
      <c r="C76" s="195" t="s">
        <v>814</v>
      </c>
      <c r="D76" s="195" t="s">
        <v>814</v>
      </c>
      <c r="E76" s="195" t="s">
        <v>25</v>
      </c>
      <c r="F76" s="195" t="s">
        <v>27</v>
      </c>
      <c r="G76" s="195" t="s">
        <v>451</v>
      </c>
      <c r="H76" s="175" t="str">
        <f t="shared" si="16"/>
        <v>ICIMWorkflowInboxMessage</v>
      </c>
      <c r="I76" s="195" t="s">
        <v>21</v>
      </c>
      <c r="J76" s="195">
        <v>40</v>
      </c>
      <c r="K76" s="195" t="b">
        <v>0</v>
      </c>
      <c r="L76" s="195" t="s">
        <v>418</v>
      </c>
      <c r="M76" s="104"/>
      <c r="N76" s="104"/>
      <c r="O76" s="104"/>
    </row>
    <row r="77" spans="1:15">
      <c r="B77" s="200" t="str">
        <f t="shared" si="19"/>
        <v>Realizes.CIMWorkflowCategory.IObject</v>
      </c>
      <c r="C77" s="201" t="s">
        <v>408</v>
      </c>
      <c r="D77" s="201" t="s">
        <v>408</v>
      </c>
      <c r="E77" s="200" t="s">
        <v>25</v>
      </c>
      <c r="F77" s="200" t="s">
        <v>27</v>
      </c>
      <c r="G77" s="131" t="s">
        <v>45</v>
      </c>
      <c r="H77" s="175" t="str">
        <f t="shared" si="16"/>
        <v>IObject</v>
      </c>
      <c r="I77" s="200" t="s">
        <v>21</v>
      </c>
      <c r="J77" s="200">
        <v>10</v>
      </c>
      <c r="K77" s="200" t="b">
        <v>1</v>
      </c>
      <c r="L77" s="200" t="s">
        <v>418</v>
      </c>
    </row>
    <row r="78" spans="1:15">
      <c r="B78" s="200" t="str">
        <f t="shared" si="19"/>
        <v>Realizes.CIMWorkflowCategory.IObjectEx</v>
      </c>
      <c r="C78" s="201" t="s">
        <v>408</v>
      </c>
      <c r="D78" s="201" t="s">
        <v>408</v>
      </c>
      <c r="E78" s="200" t="s">
        <v>25</v>
      </c>
      <c r="F78" s="200" t="s">
        <v>27</v>
      </c>
      <c r="G78" s="131" t="s">
        <v>47</v>
      </c>
      <c r="H78" s="175" t="str">
        <f t="shared" si="16"/>
        <v>IObjectEx</v>
      </c>
      <c r="I78" s="200" t="s">
        <v>21</v>
      </c>
      <c r="J78" s="131">
        <v>20</v>
      </c>
      <c r="K78" s="200" t="b">
        <v>1</v>
      </c>
      <c r="L78" s="200" t="s">
        <v>418</v>
      </c>
    </row>
    <row r="79" spans="1:15">
      <c r="B79" s="200" t="str">
        <f t="shared" si="19"/>
        <v>Realizes.CIMWorkflowCategory.ICIMOrderObject</v>
      </c>
      <c r="C79" s="201" t="s">
        <v>408</v>
      </c>
      <c r="D79" s="201" t="s">
        <v>408</v>
      </c>
      <c r="E79" s="200" t="s">
        <v>25</v>
      </c>
      <c r="F79" s="200" t="s">
        <v>27</v>
      </c>
      <c r="G79" s="131" t="s">
        <v>165</v>
      </c>
      <c r="H79" s="175" t="str">
        <f t="shared" si="16"/>
        <v>ICIMOrderObject</v>
      </c>
      <c r="I79" s="131" t="s">
        <v>21</v>
      </c>
      <c r="J79" s="131">
        <v>30</v>
      </c>
      <c r="K79" s="131" t="b">
        <v>1</v>
      </c>
      <c r="L79" s="131" t="s">
        <v>418</v>
      </c>
    </row>
    <row r="80" spans="1:15">
      <c r="B80" s="200" t="str">
        <f t="shared" si="19"/>
        <v>Realizes.CIMWorkflowCategory.ICIMHierarchyObject</v>
      </c>
      <c r="C80" s="201" t="s">
        <v>408</v>
      </c>
      <c r="D80" s="201" t="s">
        <v>408</v>
      </c>
      <c r="E80" s="200" t="s">
        <v>25</v>
      </c>
      <c r="F80" s="200" t="s">
        <v>27</v>
      </c>
      <c r="G80" s="131" t="s">
        <v>255</v>
      </c>
      <c r="H80" s="175" t="str">
        <f t="shared" si="16"/>
        <v>ICIMHierarchyObject</v>
      </c>
      <c r="I80" s="131" t="s">
        <v>21</v>
      </c>
      <c r="J80" s="131">
        <v>40</v>
      </c>
      <c r="K80" s="131" t="b">
        <v>1</v>
      </c>
      <c r="L80" s="131" t="s">
        <v>418</v>
      </c>
    </row>
    <row r="81" spans="1:12">
      <c r="B81" s="200" t="str">
        <f t="shared" si="19"/>
        <v>Realizes.CIMWorkflowCategory.ICIMHierarchyComposition</v>
      </c>
      <c r="C81" s="201" t="s">
        <v>408</v>
      </c>
      <c r="D81" s="201" t="s">
        <v>408</v>
      </c>
      <c r="E81" s="200" t="s">
        <v>25</v>
      </c>
      <c r="F81" s="200" t="s">
        <v>27</v>
      </c>
      <c r="G81" s="131" t="s">
        <v>815</v>
      </c>
      <c r="H81" s="175" t="str">
        <f t="shared" si="16"/>
        <v>ICIMHierarchyComposition</v>
      </c>
      <c r="I81" s="131" t="s">
        <v>21</v>
      </c>
      <c r="J81" s="131">
        <v>50</v>
      </c>
      <c r="K81" s="131" t="b">
        <v>1</v>
      </c>
      <c r="L81" s="131" t="s">
        <v>418</v>
      </c>
    </row>
    <row r="82" spans="1:12">
      <c r="B82" s="200" t="str">
        <f t="shared" si="19"/>
        <v>Realizes.CIMWorkflowCategory.ICIMWorkflowCategory</v>
      </c>
      <c r="C82" s="201" t="s">
        <v>408</v>
      </c>
      <c r="D82" s="201" t="s">
        <v>408</v>
      </c>
      <c r="E82" s="200" t="s">
        <v>25</v>
      </c>
      <c r="F82" s="200" t="s">
        <v>27</v>
      </c>
      <c r="G82" s="131" t="s">
        <v>454</v>
      </c>
      <c r="H82" s="175" t="str">
        <f t="shared" si="16"/>
        <v>ICIMWorkflowCategory</v>
      </c>
      <c r="I82" s="131" t="s">
        <v>21</v>
      </c>
      <c r="J82" s="131">
        <v>60</v>
      </c>
      <c r="K82" s="131" t="b">
        <v>1</v>
      </c>
      <c r="L82" s="131" t="s">
        <v>418</v>
      </c>
    </row>
    <row r="83" spans="1:12" s="169" customFormat="1">
      <c r="A83" s="202" t="s">
        <v>715</v>
      </c>
      <c r="B83" s="203" t="str">
        <f t="shared" si="19"/>
        <v>Realizes.CIMUser.ICIMWorkflowStepParticipant</v>
      </c>
      <c r="C83" s="204" t="s">
        <v>152</v>
      </c>
      <c r="D83" s="204" t="s">
        <v>152</v>
      </c>
      <c r="E83" s="203" t="s">
        <v>25</v>
      </c>
      <c r="F83" s="203" t="s">
        <v>27</v>
      </c>
      <c r="G83" s="207" t="s">
        <v>445</v>
      </c>
      <c r="H83" s="208" t="str">
        <f t="shared" si="16"/>
        <v>ICIMWorkflowStepParticipant</v>
      </c>
      <c r="I83" s="211" t="s">
        <v>21</v>
      </c>
      <c r="J83" s="211">
        <v>10</v>
      </c>
      <c r="K83" s="211" t="b">
        <v>0</v>
      </c>
      <c r="L83" s="211" t="s">
        <v>418</v>
      </c>
    </row>
    <row r="84" spans="1:12" s="169" customFormat="1">
      <c r="A84" s="202" t="s">
        <v>715</v>
      </c>
      <c r="B84" s="203" t="str">
        <f t="shared" si="19"/>
        <v>Realizes.CIMRole.ICIMWorkflowStepParticipant</v>
      </c>
      <c r="C84" s="204" t="s">
        <v>183</v>
      </c>
      <c r="D84" s="204" t="s">
        <v>183</v>
      </c>
      <c r="E84" s="203" t="s">
        <v>25</v>
      </c>
      <c r="F84" s="203" t="s">
        <v>27</v>
      </c>
      <c r="G84" s="207" t="s">
        <v>445</v>
      </c>
      <c r="H84" s="208" t="str">
        <f t="shared" si="16"/>
        <v>ICIMWorkflowStepParticipant</v>
      </c>
      <c r="I84" s="211" t="s">
        <v>21</v>
      </c>
      <c r="J84" s="212">
        <v>20</v>
      </c>
      <c r="K84" s="211" t="b">
        <v>0</v>
      </c>
      <c r="L84" s="211" t="s">
        <v>418</v>
      </c>
    </row>
    <row r="85" spans="1:12" s="169" customFormat="1">
      <c r="A85" s="202" t="s">
        <v>715</v>
      </c>
      <c r="B85" s="203" t="str">
        <f t="shared" si="19"/>
        <v>Realizes.CIMOrganization.ICIMWorkflowStepParticipant</v>
      </c>
      <c r="C85" s="204" t="s">
        <v>202</v>
      </c>
      <c r="D85" s="204" t="s">
        <v>202</v>
      </c>
      <c r="E85" s="203" t="s">
        <v>25</v>
      </c>
      <c r="F85" s="203" t="s">
        <v>27</v>
      </c>
      <c r="G85" s="207" t="s">
        <v>445</v>
      </c>
      <c r="H85" s="208" t="str">
        <f t="shared" si="16"/>
        <v>ICIMWorkflowStepParticipant</v>
      </c>
      <c r="I85" s="212" t="s">
        <v>21</v>
      </c>
      <c r="J85" s="212">
        <v>30</v>
      </c>
      <c r="K85" s="211" t="b">
        <v>0</v>
      </c>
      <c r="L85" s="212" t="s">
        <v>418</v>
      </c>
    </row>
    <row r="86" spans="1:12" s="169" customFormat="1">
      <c r="A86" s="202" t="s">
        <v>715</v>
      </c>
      <c r="B86" s="203" t="str">
        <f t="shared" si="19"/>
        <v>Realizes.CIMDiscipline.ICIMWorkflowStepParticipant</v>
      </c>
      <c r="C86" s="204" t="s">
        <v>816</v>
      </c>
      <c r="D86" s="204" t="s">
        <v>816</v>
      </c>
      <c r="E86" s="203" t="s">
        <v>25</v>
      </c>
      <c r="F86" s="203" t="s">
        <v>27</v>
      </c>
      <c r="G86" s="207" t="s">
        <v>445</v>
      </c>
      <c r="H86" s="208" t="str">
        <f t="shared" si="16"/>
        <v>ICIMWorkflowStepParticipant</v>
      </c>
      <c r="I86" s="212" t="s">
        <v>21</v>
      </c>
      <c r="J86" s="212">
        <v>40</v>
      </c>
      <c r="K86" s="211" t="b">
        <v>0</v>
      </c>
      <c r="L86" s="212" t="s">
        <v>418</v>
      </c>
    </row>
    <row r="87" spans="1:12" s="169" customFormat="1">
      <c r="A87" s="202" t="s">
        <v>715</v>
      </c>
      <c r="B87" s="203" t="str">
        <f t="shared" si="19"/>
        <v>Realizes.CIMAbstractUser.ICIMWorkflowStepParticipant</v>
      </c>
      <c r="C87" s="203" t="s">
        <v>358</v>
      </c>
      <c r="D87" s="203" t="s">
        <v>358</v>
      </c>
      <c r="E87" s="203" t="s">
        <v>25</v>
      </c>
      <c r="F87" s="203" t="s">
        <v>27</v>
      </c>
      <c r="G87" s="207" t="s">
        <v>445</v>
      </c>
      <c r="H87" s="208" t="str">
        <f t="shared" si="16"/>
        <v>ICIMWorkflowStepParticipant</v>
      </c>
      <c r="I87" s="212" t="s">
        <v>21</v>
      </c>
      <c r="J87" s="212">
        <v>50</v>
      </c>
      <c r="K87" s="211" t="b">
        <v>0</v>
      </c>
      <c r="L87" s="212" t="s">
        <v>418</v>
      </c>
    </row>
    <row r="88" spans="1:12">
      <c r="B88" s="205" t="str">
        <f t="shared" si="19"/>
        <v>Realizes.CIMWorkflowStepRecipient.IObject</v>
      </c>
      <c r="C88" s="171" t="s">
        <v>355</v>
      </c>
      <c r="D88" s="171" t="s">
        <v>355</v>
      </c>
      <c r="E88" s="209" t="s">
        <v>25</v>
      </c>
      <c r="F88" s="209" t="s">
        <v>27</v>
      </c>
      <c r="G88" s="210" t="s">
        <v>45</v>
      </c>
      <c r="H88" s="175" t="str">
        <f t="shared" ref="H88:H91" si="21">G88</f>
        <v>IObject</v>
      </c>
      <c r="I88" s="200" t="s">
        <v>21</v>
      </c>
      <c r="J88" s="200">
        <v>10</v>
      </c>
      <c r="K88" s="131" t="b">
        <v>1</v>
      </c>
      <c r="L88" s="200" t="s">
        <v>418</v>
      </c>
    </row>
    <row r="89" spans="1:12">
      <c r="B89" s="205" t="str">
        <f t="shared" si="19"/>
        <v>Realizes.CIMWorkflowStepRecipient.IObjectEx</v>
      </c>
      <c r="C89" s="171" t="s">
        <v>355</v>
      </c>
      <c r="D89" s="171" t="s">
        <v>355</v>
      </c>
      <c r="E89" s="209" t="s">
        <v>25</v>
      </c>
      <c r="F89" s="209" t="s">
        <v>27</v>
      </c>
      <c r="G89" s="210" t="s">
        <v>47</v>
      </c>
      <c r="H89" s="175" t="str">
        <f t="shared" si="21"/>
        <v>IObjectEx</v>
      </c>
      <c r="I89" s="200" t="s">
        <v>21</v>
      </c>
      <c r="J89" s="131">
        <v>20</v>
      </c>
      <c r="K89" s="131" t="b">
        <v>1</v>
      </c>
      <c r="L89" s="200" t="s">
        <v>418</v>
      </c>
    </row>
    <row r="90" spans="1:12">
      <c r="B90" s="205" t="str">
        <f t="shared" si="19"/>
        <v>Realizes.CIMWorkflowStepRecipient.ICIMRecipient</v>
      </c>
      <c r="C90" s="171" t="s">
        <v>355</v>
      </c>
      <c r="D90" s="171" t="s">
        <v>355</v>
      </c>
      <c r="E90" s="209" t="s">
        <v>25</v>
      </c>
      <c r="F90" s="209" t="s">
        <v>27</v>
      </c>
      <c r="G90" s="210" t="s">
        <v>465</v>
      </c>
      <c r="H90" s="175" t="str">
        <f t="shared" si="21"/>
        <v>ICIMRecipient</v>
      </c>
      <c r="I90" s="131" t="s">
        <v>21</v>
      </c>
      <c r="J90" s="131">
        <v>30</v>
      </c>
      <c r="K90" s="131" t="b">
        <v>1</v>
      </c>
      <c r="L90" s="131" t="s">
        <v>418</v>
      </c>
    </row>
    <row r="91" spans="1:12">
      <c r="B91" s="205" t="str">
        <f t="shared" si="19"/>
        <v>Realizes.CIMWorkflowStepRecipient.ICIMWorkflowStepRecipient</v>
      </c>
      <c r="C91" s="171" t="s">
        <v>355</v>
      </c>
      <c r="D91" s="171" t="s">
        <v>355</v>
      </c>
      <c r="E91" s="209" t="s">
        <v>25</v>
      </c>
      <c r="F91" s="209" t="s">
        <v>27</v>
      </c>
      <c r="G91" s="210" t="s">
        <v>460</v>
      </c>
      <c r="H91" s="175" t="str">
        <f t="shared" si="21"/>
        <v>ICIMWorkflowStepRecipient</v>
      </c>
      <c r="I91" s="131" t="s">
        <v>21</v>
      </c>
      <c r="J91" s="131">
        <v>40</v>
      </c>
      <c r="K91" s="131" t="b">
        <v>1</v>
      </c>
      <c r="L91" s="131" t="s">
        <v>418</v>
      </c>
    </row>
    <row r="92" spans="1:12">
      <c r="B92" s="205" t="str">
        <f t="shared" si="19"/>
        <v>Realizes.CIMWorkflowStepRecipient.ICIMWorkflowStepGroupRecipient</v>
      </c>
      <c r="C92" s="171" t="s">
        <v>355</v>
      </c>
      <c r="D92" s="171" t="s">
        <v>355</v>
      </c>
      <c r="E92" s="209" t="s">
        <v>25</v>
      </c>
      <c r="F92" s="209" t="s">
        <v>27</v>
      </c>
      <c r="G92" s="210" t="s">
        <v>458</v>
      </c>
      <c r="H92" s="175" t="s">
        <v>817</v>
      </c>
      <c r="I92" s="131" t="s">
        <v>21</v>
      </c>
      <c r="J92" s="131">
        <v>50</v>
      </c>
      <c r="K92" s="131" t="b">
        <v>0</v>
      </c>
      <c r="L92" s="131" t="s">
        <v>418</v>
      </c>
    </row>
    <row r="93" spans="1:12">
      <c r="C93" s="80"/>
      <c r="D93" s="80"/>
      <c r="E93" s="80"/>
      <c r="F93" s="80"/>
    </row>
    <row r="94" spans="1:12">
      <c r="C94" s="80"/>
      <c r="D94" s="80"/>
      <c r="E94" s="80"/>
      <c r="F94" s="80"/>
    </row>
    <row r="95" spans="1:12">
      <c r="C95" s="80"/>
      <c r="D95" s="80"/>
      <c r="E95" s="80"/>
      <c r="F95" s="80"/>
    </row>
    <row r="96" spans="1:12">
      <c r="C96" s="80"/>
      <c r="D96" s="80"/>
      <c r="E96" s="80"/>
      <c r="F96" s="80"/>
    </row>
    <row r="97" spans="3:6">
      <c r="C97" s="80"/>
      <c r="D97" s="80"/>
      <c r="E97" s="80"/>
      <c r="F97" s="80"/>
    </row>
    <row r="98" spans="3:6">
      <c r="C98" s="80"/>
      <c r="D98" s="80"/>
      <c r="E98" s="80"/>
      <c r="F98" s="80"/>
    </row>
    <row r="99" spans="3:6">
      <c r="C99" s="80"/>
      <c r="D99" s="80"/>
      <c r="E99" s="80"/>
      <c r="F99" s="80"/>
    </row>
    <row r="100" spans="3:6">
      <c r="C100" s="80"/>
      <c r="D100" s="80"/>
      <c r="E100" s="80"/>
      <c r="F100" s="80"/>
    </row>
    <row r="101" spans="3:6">
      <c r="C101" s="80"/>
      <c r="D101" s="80"/>
      <c r="E101" s="80"/>
      <c r="F101" s="80"/>
    </row>
    <row r="102" spans="3:6">
      <c r="C102" s="80"/>
      <c r="D102" s="80"/>
      <c r="E102" s="80"/>
      <c r="F102" s="80"/>
    </row>
    <row r="103" spans="3:6">
      <c r="C103" s="80"/>
      <c r="D103" s="80"/>
      <c r="E103" s="80"/>
      <c r="F103" s="80"/>
    </row>
    <row r="104" spans="3:6">
      <c r="C104" s="80"/>
      <c r="D104" s="80"/>
      <c r="E104" s="80"/>
      <c r="F104" s="80"/>
    </row>
    <row r="105" spans="3:6">
      <c r="C105" s="80"/>
      <c r="D105" s="80"/>
      <c r="E105" s="80"/>
      <c r="F105" s="80"/>
    </row>
    <row r="106" spans="3:6">
      <c r="C106" s="80"/>
      <c r="D106" s="80"/>
      <c r="E106" s="80"/>
      <c r="F106" s="80"/>
    </row>
    <row r="107" spans="3:6">
      <c r="C107" s="80"/>
      <c r="D107" s="80"/>
      <c r="E107" s="80"/>
      <c r="F107" s="80"/>
    </row>
    <row r="108" spans="3:6">
      <c r="C108" s="80"/>
      <c r="D108" s="80"/>
      <c r="E108" s="80"/>
      <c r="F108" s="80"/>
    </row>
    <row r="109" spans="3:6">
      <c r="C109" s="80"/>
      <c r="D109" s="80"/>
      <c r="E109" s="80"/>
      <c r="F109" s="80"/>
    </row>
    <row r="110" spans="3:6">
      <c r="C110" s="80"/>
      <c r="D110" s="80"/>
      <c r="E110" s="80"/>
      <c r="F110" s="80"/>
    </row>
    <row r="111" spans="3:6">
      <c r="C111" s="80"/>
      <c r="D111" s="80"/>
      <c r="E111" s="80"/>
      <c r="F111" s="80"/>
    </row>
    <row r="112" spans="3:6">
      <c r="C112" s="80"/>
      <c r="D112" s="80"/>
      <c r="E112" s="80"/>
      <c r="F112" s="80"/>
    </row>
    <row r="113" spans="3:6">
      <c r="C113" s="80"/>
      <c r="D113" s="80"/>
      <c r="E113" s="80"/>
      <c r="F113" s="80"/>
    </row>
    <row r="114" spans="3:6">
      <c r="C114" s="80"/>
      <c r="D114" s="80"/>
      <c r="E114" s="80"/>
      <c r="F114" s="80"/>
    </row>
  </sheetData>
  <sheetProtection formatCells="0" insertHyperlinks="0" autoFilter="0"/>
  <autoFilter ref="A19:O92"/>
  <mergeCells count="1">
    <mergeCell ref="A1:L1"/>
  </mergeCells>
  <conditionalFormatting sqref="B3">
    <cfRule type="duplicateValues" dxfId="23" priority="4"/>
  </conditionalFormatting>
  <conditionalFormatting sqref="B17">
    <cfRule type="duplicateValues" dxfId="22" priority="1"/>
  </conditionalFormatting>
  <conditionalFormatting sqref="B18:B19">
    <cfRule type="duplicateValues" dxfId="21" priority="3"/>
  </conditionalFormatting>
  <conditionalFormatting sqref="B2 B4:B8 B12">
    <cfRule type="duplicateValues" dxfId="20" priority="5"/>
  </conditionalFormatting>
  <conditionalFormatting sqref="B9:B11 B13:B16">
    <cfRule type="duplicateValues" dxfId="19" priority="2"/>
  </conditionalFormatting>
  <pageMargins left="0.75" right="0.75" top="1" bottom="1" header="0.5" footer="0.5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8"/>
  <sheetViews>
    <sheetView topLeftCell="C36" workbookViewId="0">
      <selection activeCell="C36" sqref="C36:D36"/>
    </sheetView>
  </sheetViews>
  <sheetFormatPr defaultColWidth="9" defaultRowHeight="12"/>
  <cols>
    <col min="1" max="1" width="12.42578125" style="92" customWidth="1"/>
    <col min="2" max="2" width="64.42578125" style="92" customWidth="1"/>
    <col min="3" max="4" width="21" style="92" customWidth="1"/>
    <col min="5" max="5" width="15.42578125" style="92" customWidth="1"/>
    <col min="6" max="6" width="20.7109375" style="92" customWidth="1"/>
    <col min="7" max="7" width="22.5703125" style="92" customWidth="1"/>
    <col min="8" max="8" width="8.85546875" style="92" customWidth="1"/>
    <col min="9" max="9" width="15.42578125" style="92" customWidth="1"/>
    <col min="10" max="10" width="8.85546875" style="92" customWidth="1"/>
    <col min="11" max="11" width="9" style="92" customWidth="1"/>
    <col min="12" max="12" width="8.85546875" style="92" customWidth="1"/>
    <col min="13" max="16384" width="9" style="92"/>
  </cols>
  <sheetData>
    <row r="1" spans="1:12">
      <c r="A1" s="328" t="s">
        <v>466</v>
      </c>
      <c r="B1" s="329"/>
      <c r="C1" s="329"/>
      <c r="D1" s="329"/>
      <c r="E1" s="81"/>
      <c r="F1" s="81"/>
      <c r="G1" s="81"/>
      <c r="H1" s="81"/>
      <c r="I1" s="81"/>
      <c r="J1" s="81"/>
      <c r="K1" s="81"/>
      <c r="L1" s="81"/>
    </row>
    <row r="2" spans="1:12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</row>
    <row r="3" spans="1:12">
      <c r="A3" s="81" t="s">
        <v>114</v>
      </c>
      <c r="B3" s="81" t="s">
        <v>43</v>
      </c>
      <c r="C3" s="85" t="s">
        <v>46</v>
      </c>
      <c r="D3" s="85" t="s">
        <v>50</v>
      </c>
      <c r="E3" s="138" t="s">
        <v>818</v>
      </c>
      <c r="F3" s="138" t="s">
        <v>819</v>
      </c>
      <c r="G3" s="162" t="s">
        <v>820</v>
      </c>
      <c r="H3" s="81" t="s">
        <v>48</v>
      </c>
      <c r="J3" s="82"/>
      <c r="K3" s="82"/>
      <c r="L3" s="82"/>
    </row>
    <row r="4" spans="1:12">
      <c r="A4" s="102"/>
      <c r="B4" s="102" t="str">
        <f t="shared" ref="B4:B9" si="0">"CIMUICont_"&amp;C4&amp;"_"&amp;G4</f>
        <v>CIMUICont_WFT_L_list</v>
      </c>
      <c r="C4" s="102" t="s">
        <v>821</v>
      </c>
      <c r="D4" s="102" t="s">
        <v>822</v>
      </c>
      <c r="E4" s="102" t="b">
        <v>1</v>
      </c>
      <c r="F4" s="102" t="b">
        <v>1</v>
      </c>
      <c r="G4" s="102" t="s">
        <v>823</v>
      </c>
      <c r="H4" s="102" t="s">
        <v>418</v>
      </c>
      <c r="I4" s="102"/>
      <c r="J4" s="102"/>
      <c r="K4" s="102"/>
      <c r="L4" s="102"/>
    </row>
    <row r="5" spans="1:12">
      <c r="A5" s="102"/>
      <c r="B5" s="102" t="str">
        <f t="shared" si="0"/>
        <v>CIMUICont_WFT_C_create</v>
      </c>
      <c r="C5" s="102" t="s">
        <v>824</v>
      </c>
      <c r="D5" s="102" t="s">
        <v>825</v>
      </c>
      <c r="E5" s="102"/>
      <c r="F5" s="102"/>
      <c r="G5" s="102" t="s">
        <v>826</v>
      </c>
      <c r="H5" s="102" t="s">
        <v>418</v>
      </c>
      <c r="I5" s="102"/>
      <c r="J5" s="102"/>
      <c r="K5" s="102"/>
      <c r="L5" s="102"/>
    </row>
    <row r="6" spans="1:12">
      <c r="A6" s="102"/>
      <c r="B6" s="102" t="str">
        <f t="shared" si="0"/>
        <v>CIMUICont_WFT_U_update</v>
      </c>
      <c r="C6" s="102" t="s">
        <v>827</v>
      </c>
      <c r="D6" s="102" t="s">
        <v>828</v>
      </c>
      <c r="E6" s="102"/>
      <c r="F6" s="102"/>
      <c r="G6" s="102" t="s">
        <v>829</v>
      </c>
      <c r="H6" s="102" t="s">
        <v>418</v>
      </c>
      <c r="I6" s="102"/>
      <c r="J6" s="102"/>
      <c r="K6" s="102"/>
      <c r="L6" s="102"/>
    </row>
    <row r="7" spans="1:12">
      <c r="A7" s="102"/>
      <c r="B7" s="102" t="str">
        <f t="shared" si="0"/>
        <v>CIMUICont_WFST_C_create</v>
      </c>
      <c r="C7" s="102" t="s">
        <v>830</v>
      </c>
      <c r="D7" s="102" t="s">
        <v>831</v>
      </c>
      <c r="E7" s="102"/>
      <c r="F7" s="102"/>
      <c r="G7" s="102" t="s">
        <v>826</v>
      </c>
      <c r="H7" s="102" t="s">
        <v>418</v>
      </c>
      <c r="I7" s="102"/>
      <c r="J7" s="102"/>
      <c r="K7" s="102"/>
      <c r="L7" s="102"/>
    </row>
    <row r="8" spans="1:12">
      <c r="A8" s="102"/>
      <c r="B8" s="102" t="str">
        <f t="shared" si="0"/>
        <v>CIMUICont_WFST_U_update</v>
      </c>
      <c r="C8" s="102" t="s">
        <v>832</v>
      </c>
      <c r="D8" s="102" t="s">
        <v>833</v>
      </c>
      <c r="E8" s="102"/>
      <c r="F8" s="102"/>
      <c r="G8" s="102" t="s">
        <v>829</v>
      </c>
      <c r="H8" s="102" t="s">
        <v>418</v>
      </c>
      <c r="I8" s="102"/>
      <c r="J8" s="102"/>
      <c r="K8" s="102"/>
      <c r="L8" s="102"/>
    </row>
    <row r="9" spans="1:12">
      <c r="A9" s="102"/>
      <c r="B9" s="102" t="str">
        <f t="shared" si="0"/>
        <v>CIMUICont_WFS_L_list</v>
      </c>
      <c r="C9" s="102" t="s">
        <v>834</v>
      </c>
      <c r="D9" s="102" t="s">
        <v>835</v>
      </c>
      <c r="E9" s="102"/>
      <c r="F9" s="102"/>
      <c r="G9" s="102" t="s">
        <v>823</v>
      </c>
      <c r="H9" s="102" t="s">
        <v>418</v>
      </c>
      <c r="I9" s="102"/>
      <c r="J9" s="102"/>
      <c r="K9" s="102"/>
      <c r="L9" s="102"/>
    </row>
    <row r="10" spans="1:12">
      <c r="A10" s="102"/>
      <c r="B10" s="102" t="s">
        <v>836</v>
      </c>
      <c r="C10" s="102" t="s">
        <v>837</v>
      </c>
      <c r="D10" s="102" t="s">
        <v>838</v>
      </c>
      <c r="E10" s="102"/>
      <c r="F10" s="102"/>
      <c r="G10" s="102" t="s">
        <v>829</v>
      </c>
      <c r="H10" s="102" t="s">
        <v>418</v>
      </c>
      <c r="I10" s="102"/>
      <c r="J10" s="102"/>
      <c r="K10" s="102"/>
      <c r="L10" s="102"/>
    </row>
    <row r="11" spans="1:12">
      <c r="A11" s="102"/>
      <c r="B11" s="102" t="str">
        <f t="shared" ref="B11:B17" si="1">"CIMUICont_"&amp;C11&amp;"_"&amp;G11</f>
        <v>CIMUICont_WFS_D_detail</v>
      </c>
      <c r="C11" s="102" t="s">
        <v>839</v>
      </c>
      <c r="D11" s="128" t="s">
        <v>840</v>
      </c>
      <c r="E11" s="102"/>
      <c r="F11" s="102"/>
      <c r="G11" s="102" t="s">
        <v>841</v>
      </c>
      <c r="H11" s="102" t="s">
        <v>418</v>
      </c>
      <c r="I11" s="102"/>
      <c r="J11" s="102"/>
      <c r="K11" s="102"/>
      <c r="L11" s="102"/>
    </row>
    <row r="12" spans="1:12">
      <c r="A12" s="102"/>
      <c r="B12" s="102" t="str">
        <f t="shared" si="1"/>
        <v>CIMUICont_WFS_P_WSC_P</v>
      </c>
      <c r="C12" s="102" t="s">
        <v>842</v>
      </c>
      <c r="D12" s="102" t="s">
        <v>843</v>
      </c>
      <c r="E12" s="102"/>
      <c r="F12" s="102"/>
      <c r="G12" s="102" t="s">
        <v>844</v>
      </c>
      <c r="H12" s="102" t="s">
        <v>418</v>
      </c>
      <c r="I12" s="102"/>
      <c r="J12" s="102"/>
      <c r="K12" s="102"/>
      <c r="L12" s="102"/>
    </row>
    <row r="13" spans="1:12">
      <c r="A13" s="102"/>
      <c r="B13" s="102" t="str">
        <f t="shared" si="1"/>
        <v>CIMUICont_WFS_I_WSC_I</v>
      </c>
      <c r="C13" s="102" t="s">
        <v>845</v>
      </c>
      <c r="D13" s="102" t="s">
        <v>846</v>
      </c>
      <c r="E13" s="102"/>
      <c r="F13" s="102"/>
      <c r="G13" s="102" t="s">
        <v>847</v>
      </c>
      <c r="H13" s="102" t="s">
        <v>418</v>
      </c>
      <c r="I13" s="102"/>
      <c r="J13" s="102"/>
      <c r="K13" s="102"/>
      <c r="L13" s="102"/>
    </row>
    <row r="14" spans="1:12">
      <c r="A14" s="102"/>
      <c r="B14" s="102" t="str">
        <f t="shared" si="1"/>
        <v>CIMUICont_WFS_W_WSC_W</v>
      </c>
      <c r="C14" s="102" t="s">
        <v>848</v>
      </c>
      <c r="D14" s="102" t="s">
        <v>849</v>
      </c>
      <c r="E14" s="102"/>
      <c r="F14" s="102"/>
      <c r="G14" s="102" t="s">
        <v>850</v>
      </c>
      <c r="H14" s="102" t="s">
        <v>418</v>
      </c>
      <c r="I14" s="102"/>
      <c r="J14" s="102"/>
      <c r="K14" s="102"/>
      <c r="L14" s="102"/>
    </row>
    <row r="15" spans="1:12">
      <c r="A15" s="102"/>
      <c r="B15" s="102" t="str">
        <f t="shared" si="1"/>
        <v>CIMUICont_WFC_CU_cu</v>
      </c>
      <c r="C15" s="102" t="s">
        <v>851</v>
      </c>
      <c r="D15" s="128" t="s">
        <v>407</v>
      </c>
      <c r="E15" s="102"/>
      <c r="F15" s="102"/>
      <c r="G15" s="102" t="s">
        <v>852</v>
      </c>
      <c r="H15" s="102" t="s">
        <v>418</v>
      </c>
      <c r="I15" s="102"/>
      <c r="J15" s="102"/>
      <c r="K15" s="102"/>
      <c r="L15" s="102"/>
    </row>
    <row r="16" spans="1:12">
      <c r="A16" s="102"/>
      <c r="B16" s="102" t="str">
        <f t="shared" si="1"/>
        <v>CIMUICont_WF_L_list</v>
      </c>
      <c r="C16" s="102" t="s">
        <v>853</v>
      </c>
      <c r="D16" s="128" t="s">
        <v>854</v>
      </c>
      <c r="E16" s="102" t="b">
        <v>0</v>
      </c>
      <c r="F16" s="102" t="b">
        <v>0</v>
      </c>
      <c r="G16" s="102" t="s">
        <v>823</v>
      </c>
      <c r="H16" s="102" t="s">
        <v>418</v>
      </c>
      <c r="I16" s="102"/>
      <c r="J16" s="102"/>
      <c r="K16" s="102"/>
      <c r="L16" s="102"/>
    </row>
    <row r="17" spans="1:12">
      <c r="A17" s="102"/>
      <c r="B17" s="102" t="str">
        <f t="shared" si="1"/>
        <v>CIMUICont_WF_D_detail</v>
      </c>
      <c r="C17" s="102" t="s">
        <v>855</v>
      </c>
      <c r="D17" s="128" t="s">
        <v>856</v>
      </c>
      <c r="E17" s="102" t="b">
        <v>0</v>
      </c>
      <c r="F17" s="102" t="b">
        <v>0</v>
      </c>
      <c r="G17" s="102" t="s">
        <v>841</v>
      </c>
      <c r="H17" s="102" t="s">
        <v>418</v>
      </c>
      <c r="I17" s="102"/>
      <c r="J17" s="102"/>
      <c r="K17" s="102"/>
      <c r="L17" s="102"/>
    </row>
    <row r="18" spans="1:12">
      <c r="A18" s="82"/>
      <c r="B18" s="82"/>
      <c r="C18" s="155"/>
      <c r="D18" s="82"/>
      <c r="E18" s="82"/>
      <c r="F18" s="82"/>
      <c r="G18" s="82"/>
      <c r="H18" s="82"/>
      <c r="I18" s="82"/>
      <c r="J18" s="82"/>
      <c r="K18" s="82"/>
      <c r="L18" s="82"/>
    </row>
    <row r="19" spans="1:12">
      <c r="A19" s="81" t="s">
        <v>24</v>
      </c>
      <c r="B19" s="81" t="s">
        <v>43</v>
      </c>
      <c r="C19" s="85" t="s">
        <v>81</v>
      </c>
      <c r="D19" s="85" t="s">
        <v>76</v>
      </c>
      <c r="E19" s="85" t="s">
        <v>79</v>
      </c>
      <c r="F19" s="85" t="s">
        <v>83</v>
      </c>
      <c r="G19" s="85" t="s">
        <v>82</v>
      </c>
      <c r="H19" s="85" t="s">
        <v>78</v>
      </c>
      <c r="I19" s="85" t="s">
        <v>80</v>
      </c>
      <c r="J19" s="85" t="s">
        <v>84</v>
      </c>
      <c r="K19" s="85" t="s">
        <v>85</v>
      </c>
      <c r="L19" s="81" t="s">
        <v>48</v>
      </c>
    </row>
    <row r="20" spans="1:12">
      <c r="A20" s="87"/>
      <c r="B20" s="156" t="str">
        <f t="shared" ref="B20:B33" si="2">F20&amp;"."&amp;C20&amp;"."&amp;G20</f>
        <v>ClassDef2CIMUIContainer.CIMWorkflowTemplate.CIMUICont_WFT_L_list</v>
      </c>
      <c r="C20" s="157" t="s">
        <v>306</v>
      </c>
      <c r="D20" s="157" t="str">
        <f t="shared" ref="D20:D24" si="3">C20</f>
        <v>CIMWorkflowTemplate</v>
      </c>
      <c r="E20" s="157" t="s">
        <v>25</v>
      </c>
      <c r="F20" s="163" t="s">
        <v>128</v>
      </c>
      <c r="G20" s="157" t="s">
        <v>857</v>
      </c>
      <c r="H20" s="157" t="s">
        <v>821</v>
      </c>
      <c r="I20" s="163" t="s">
        <v>114</v>
      </c>
      <c r="J20" s="163">
        <v>10</v>
      </c>
      <c r="K20" s="163" t="b">
        <v>1</v>
      </c>
      <c r="L20" s="163" t="s">
        <v>418</v>
      </c>
    </row>
    <row r="21" spans="1:12">
      <c r="B21" s="156" t="str">
        <f t="shared" si="2"/>
        <v>ClassDef2CIMUIContainer.CIMWorkflowTemplate.CIMUICont_WFT_C_create</v>
      </c>
      <c r="C21" s="157" t="s">
        <v>306</v>
      </c>
      <c r="D21" s="157" t="str">
        <f t="shared" si="3"/>
        <v>CIMWorkflowTemplate</v>
      </c>
      <c r="E21" s="157" t="s">
        <v>25</v>
      </c>
      <c r="F21" s="163" t="s">
        <v>128</v>
      </c>
      <c r="G21" s="163" t="s">
        <v>858</v>
      </c>
      <c r="H21" s="163" t="s">
        <v>824</v>
      </c>
      <c r="I21" s="163" t="s">
        <v>114</v>
      </c>
      <c r="J21" s="163">
        <v>11</v>
      </c>
      <c r="K21" s="163" t="b">
        <v>1</v>
      </c>
      <c r="L21" s="163" t="s">
        <v>418</v>
      </c>
    </row>
    <row r="22" spans="1:12">
      <c r="B22" s="156" t="str">
        <f t="shared" si="2"/>
        <v>ClassDef2CIMUIContainer.CIMWorkflowTemplate.CIMUICont_WFT_U_update</v>
      </c>
      <c r="C22" s="157" t="s">
        <v>306</v>
      </c>
      <c r="D22" s="157" t="str">
        <f t="shared" si="3"/>
        <v>CIMWorkflowTemplate</v>
      </c>
      <c r="E22" s="157" t="s">
        <v>25</v>
      </c>
      <c r="F22" s="163" t="s">
        <v>128</v>
      </c>
      <c r="G22" s="163" t="s">
        <v>859</v>
      </c>
      <c r="H22" s="163" t="s">
        <v>827</v>
      </c>
      <c r="I22" s="163" t="s">
        <v>114</v>
      </c>
      <c r="J22" s="163">
        <v>12</v>
      </c>
      <c r="K22" s="163" t="b">
        <v>1</v>
      </c>
      <c r="L22" s="163" t="s">
        <v>418</v>
      </c>
    </row>
    <row r="23" spans="1:12">
      <c r="B23" s="158" t="str">
        <f t="shared" si="2"/>
        <v>ClassDef2CIMUIContainer.CIMWorkflowStepTemplate.CIMUICont_WFST_C_create</v>
      </c>
      <c r="C23" s="118" t="s">
        <v>328</v>
      </c>
      <c r="D23" s="158" t="str">
        <f t="shared" si="3"/>
        <v>CIMWorkflowStepTemplate</v>
      </c>
      <c r="E23" s="158" t="s">
        <v>25</v>
      </c>
      <c r="F23" s="164" t="s">
        <v>128</v>
      </c>
      <c r="G23" s="118" t="s">
        <v>860</v>
      </c>
      <c r="H23" s="118" t="s">
        <v>830</v>
      </c>
      <c r="I23" s="164" t="s">
        <v>114</v>
      </c>
      <c r="J23" s="164">
        <v>10</v>
      </c>
      <c r="K23" s="164" t="b">
        <v>1</v>
      </c>
      <c r="L23" s="164" t="s">
        <v>418</v>
      </c>
    </row>
    <row r="24" spans="1:12">
      <c r="B24" s="158" t="str">
        <f t="shared" si="2"/>
        <v>ClassDef2CIMUIContainer.CIMWorkflowStepTemplate.CIMUICont_WFST_U_update</v>
      </c>
      <c r="C24" s="118" t="s">
        <v>328</v>
      </c>
      <c r="D24" s="158" t="str">
        <f t="shared" si="3"/>
        <v>CIMWorkflowStepTemplate</v>
      </c>
      <c r="E24" s="158" t="s">
        <v>25</v>
      </c>
      <c r="F24" s="164" t="s">
        <v>128</v>
      </c>
      <c r="G24" s="118" t="s">
        <v>861</v>
      </c>
      <c r="H24" s="118" t="s">
        <v>832</v>
      </c>
      <c r="I24" s="164" t="s">
        <v>114</v>
      </c>
      <c r="J24" s="164">
        <v>11</v>
      </c>
      <c r="K24" s="164" t="b">
        <v>1</v>
      </c>
      <c r="L24" s="164" t="s">
        <v>418</v>
      </c>
    </row>
    <row r="25" spans="1:12">
      <c r="B25" s="159" t="str">
        <f t="shared" si="2"/>
        <v>ClassDef2CIMUIContainer.CIMWorkflowStep.CIMUICont_WFS_L_list</v>
      </c>
      <c r="C25" s="116" t="s">
        <v>781</v>
      </c>
      <c r="D25" s="116" t="s">
        <v>781</v>
      </c>
      <c r="E25" s="159" t="s">
        <v>25</v>
      </c>
      <c r="F25" s="165" t="s">
        <v>128</v>
      </c>
      <c r="G25" s="159" t="s">
        <v>862</v>
      </c>
      <c r="H25" s="159" t="s">
        <v>834</v>
      </c>
      <c r="I25" s="165" t="s">
        <v>114</v>
      </c>
      <c r="J25" s="165">
        <v>10</v>
      </c>
      <c r="K25" s="165" t="b">
        <v>1</v>
      </c>
      <c r="L25" s="165" t="s">
        <v>418</v>
      </c>
    </row>
    <row r="26" spans="1:12">
      <c r="B26" s="159" t="str">
        <f t="shared" si="2"/>
        <v>ClassDef2CIMUIContainer.CIMWorkflowStep.CIMUICont_WFS_U_update</v>
      </c>
      <c r="C26" s="116" t="s">
        <v>781</v>
      </c>
      <c r="D26" s="116" t="s">
        <v>781</v>
      </c>
      <c r="E26" s="159" t="s">
        <v>25</v>
      </c>
      <c r="F26" s="165" t="s">
        <v>128</v>
      </c>
      <c r="G26" s="159" t="s">
        <v>836</v>
      </c>
      <c r="H26" s="159" t="s">
        <v>837</v>
      </c>
      <c r="I26" s="165" t="s">
        <v>114</v>
      </c>
      <c r="J26" s="165">
        <v>11</v>
      </c>
      <c r="K26" s="165" t="b">
        <v>1</v>
      </c>
      <c r="L26" s="165" t="s">
        <v>418</v>
      </c>
    </row>
    <row r="27" spans="1:12">
      <c r="B27" s="159" t="str">
        <f t="shared" si="2"/>
        <v>ClassDef2CIMUIContainer.CIMWorkflowStep.CIMUICont_WFS_D_detail</v>
      </c>
      <c r="C27" s="116" t="s">
        <v>781</v>
      </c>
      <c r="D27" s="116" t="s">
        <v>781</v>
      </c>
      <c r="E27" s="159" t="s">
        <v>25</v>
      </c>
      <c r="F27" s="165" t="s">
        <v>128</v>
      </c>
      <c r="G27" s="159" t="s">
        <v>863</v>
      </c>
      <c r="H27" s="159" t="s">
        <v>839</v>
      </c>
      <c r="I27" s="165" t="s">
        <v>114</v>
      </c>
      <c r="J27" s="165">
        <v>12</v>
      </c>
      <c r="K27" s="165" t="b">
        <v>1</v>
      </c>
      <c r="L27" s="165" t="s">
        <v>418</v>
      </c>
    </row>
    <row r="28" spans="1:12">
      <c r="B28" s="158" t="str">
        <f t="shared" si="2"/>
        <v>ClassDef2CIMUIContainer.CIMWorkflowStepTemplate.CIMUICont_WFS_P_WSC_P</v>
      </c>
      <c r="C28" s="118" t="s">
        <v>328</v>
      </c>
      <c r="D28" s="158" t="str">
        <f t="shared" ref="D28:D30" si="4">C28</f>
        <v>CIMWorkflowStepTemplate</v>
      </c>
      <c r="E28" s="158" t="s">
        <v>25</v>
      </c>
      <c r="F28" s="164" t="s">
        <v>128</v>
      </c>
      <c r="G28" s="118" t="s">
        <v>864</v>
      </c>
      <c r="H28" s="118" t="s">
        <v>842</v>
      </c>
      <c r="I28" s="164" t="s">
        <v>114</v>
      </c>
      <c r="J28" s="164">
        <v>10</v>
      </c>
      <c r="K28" s="164" t="b">
        <v>1</v>
      </c>
      <c r="L28" s="164" t="s">
        <v>418</v>
      </c>
    </row>
    <row r="29" spans="1:12">
      <c r="B29" s="158" t="str">
        <f t="shared" si="2"/>
        <v>ClassDef2CIMUIContainer.CIMWorkflowStepTemplate.CIMUICont_WFS_I_WSC_I</v>
      </c>
      <c r="C29" s="118" t="s">
        <v>328</v>
      </c>
      <c r="D29" s="158" t="str">
        <f t="shared" si="4"/>
        <v>CIMWorkflowStepTemplate</v>
      </c>
      <c r="E29" s="158" t="s">
        <v>25</v>
      </c>
      <c r="F29" s="164" t="s">
        <v>128</v>
      </c>
      <c r="G29" s="118" t="s">
        <v>865</v>
      </c>
      <c r="H29" s="118" t="s">
        <v>845</v>
      </c>
      <c r="I29" s="164" t="s">
        <v>114</v>
      </c>
      <c r="J29" s="164">
        <v>11</v>
      </c>
      <c r="K29" s="164" t="b">
        <v>1</v>
      </c>
      <c r="L29" s="164" t="s">
        <v>418</v>
      </c>
    </row>
    <row r="30" spans="1:12">
      <c r="B30" s="160" t="str">
        <f t="shared" si="2"/>
        <v>ClassDef2CIMUIContainer.CIMWorkflowStepTemplate.CIMUICont_WFS_W_WSC_W</v>
      </c>
      <c r="C30" s="119" t="s">
        <v>328</v>
      </c>
      <c r="D30" s="160" t="str">
        <f t="shared" si="4"/>
        <v>CIMWorkflowStepTemplate</v>
      </c>
      <c r="E30" s="160" t="s">
        <v>25</v>
      </c>
      <c r="F30" s="166" t="s">
        <v>128</v>
      </c>
      <c r="G30" s="119" t="s">
        <v>866</v>
      </c>
      <c r="H30" s="119" t="s">
        <v>848</v>
      </c>
      <c r="I30" s="166" t="s">
        <v>114</v>
      </c>
      <c r="J30" s="166">
        <v>12</v>
      </c>
      <c r="K30" s="166" t="b">
        <v>1</v>
      </c>
      <c r="L30" s="166" t="s">
        <v>418</v>
      </c>
    </row>
    <row r="31" spans="1:12">
      <c r="B31" s="161" t="str">
        <f t="shared" si="2"/>
        <v>ClassDef2CIMUIContainer.CIMWorkflowCategory.CIMUICont_WFC_CU_cu</v>
      </c>
      <c r="C31" s="154" t="s">
        <v>408</v>
      </c>
      <c r="D31" s="154" t="s">
        <v>408</v>
      </c>
      <c r="E31" s="161" t="s">
        <v>25</v>
      </c>
      <c r="F31" s="167" t="s">
        <v>128</v>
      </c>
      <c r="G31" s="154" t="s">
        <v>867</v>
      </c>
      <c r="H31" s="154" t="s">
        <v>851</v>
      </c>
      <c r="I31" s="167" t="s">
        <v>114</v>
      </c>
      <c r="J31" s="167">
        <v>10</v>
      </c>
      <c r="K31" s="167" t="b">
        <v>1</v>
      </c>
      <c r="L31" s="167" t="s">
        <v>418</v>
      </c>
    </row>
    <row r="32" spans="1:12">
      <c r="B32" s="151" t="str">
        <f t="shared" si="2"/>
        <v>ClassDef2CIMUIContainer.CIMWorkflow.CIMUICont_WF_L_list</v>
      </c>
      <c r="C32" s="106" t="s">
        <v>775</v>
      </c>
      <c r="D32" s="106" t="s">
        <v>775</v>
      </c>
      <c r="E32" s="151" t="s">
        <v>25</v>
      </c>
      <c r="F32" s="150" t="s">
        <v>128</v>
      </c>
      <c r="G32" s="151" t="s">
        <v>868</v>
      </c>
      <c r="H32" s="151" t="s">
        <v>853</v>
      </c>
      <c r="I32" s="150" t="s">
        <v>114</v>
      </c>
      <c r="J32" s="150">
        <v>10</v>
      </c>
      <c r="K32" s="150" t="b">
        <v>1</v>
      </c>
      <c r="L32" s="150" t="s">
        <v>418</v>
      </c>
    </row>
    <row r="33" spans="2:12">
      <c r="B33" s="151" t="str">
        <f t="shared" si="2"/>
        <v>ClassDef2CIMUIContainer.CIMWorkflow.CIMUICont_WF_D_detail</v>
      </c>
      <c r="C33" s="106" t="s">
        <v>775</v>
      </c>
      <c r="D33" s="106" t="s">
        <v>775</v>
      </c>
      <c r="E33" s="151" t="s">
        <v>25</v>
      </c>
      <c r="F33" s="150" t="s">
        <v>128</v>
      </c>
      <c r="G33" s="151" t="s">
        <v>869</v>
      </c>
      <c r="H33" s="151" t="s">
        <v>855</v>
      </c>
      <c r="I33" s="150" t="s">
        <v>114</v>
      </c>
      <c r="J33" s="150">
        <v>11</v>
      </c>
      <c r="K33" s="150" t="b">
        <v>1</v>
      </c>
      <c r="L33" s="150" t="s">
        <v>418</v>
      </c>
    </row>
    <row r="38" spans="2:12">
      <c r="F38" s="168"/>
    </row>
  </sheetData>
  <sheetProtection formatCells="0" insertHyperlinks="0" autoFilter="0"/>
  <mergeCells count="1">
    <mergeCell ref="A1:D1"/>
  </mergeCells>
  <conditionalFormatting sqref="A3">
    <cfRule type="duplicateValues" dxfId="18" priority="2"/>
  </conditionalFormatting>
  <conditionalFormatting sqref="B3">
    <cfRule type="duplicateValues" dxfId="17" priority="3"/>
  </conditionalFormatting>
  <conditionalFormatting sqref="B19">
    <cfRule type="duplicateValues" dxfId="16" priority="1"/>
  </conditionalFormatting>
  <conditionalFormatting sqref="B1:B2 B4:B18">
    <cfRule type="duplicateValues" dxfId="15" priority="4"/>
  </conditionalFormatting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topLeftCell="C74" zoomScale="115" zoomScaleNormal="115" workbookViewId="0">
      <selection activeCell="G37" sqref="G37:H37"/>
    </sheetView>
  </sheetViews>
  <sheetFormatPr defaultColWidth="9" defaultRowHeight="12"/>
  <cols>
    <col min="1" max="1" width="10.7109375" style="92" customWidth="1"/>
    <col min="2" max="2" width="47.7109375" style="92" customWidth="1"/>
    <col min="3" max="3" width="22.5703125" style="92" customWidth="1"/>
    <col min="4" max="4" width="15.140625" style="92" customWidth="1"/>
    <col min="5" max="5" width="15.42578125" style="92" customWidth="1"/>
    <col min="6" max="6" width="16.28515625" style="92" customWidth="1"/>
    <col min="7" max="7" width="24.7109375" style="92" customWidth="1"/>
    <col min="8" max="8" width="17.42578125" style="92" customWidth="1"/>
    <col min="9" max="9" width="15.42578125" style="92" customWidth="1"/>
    <col min="10" max="10" width="8.85546875" style="92" customWidth="1"/>
    <col min="11" max="11" width="9" style="92" customWidth="1"/>
    <col min="12" max="12" width="8" style="92" customWidth="1"/>
    <col min="13" max="13" width="6.140625" style="92" customWidth="1"/>
    <col min="14" max="14" width="5.5703125" style="92" customWidth="1"/>
    <col min="15" max="15" width="4.140625" style="92" customWidth="1"/>
    <col min="16" max="16" width="8.85546875" style="92" customWidth="1"/>
    <col min="17" max="16384" width="9" style="92"/>
  </cols>
  <sheetData>
    <row r="1" spans="1:16" ht="14.25">
      <c r="A1" s="328" t="s">
        <v>870</v>
      </c>
      <c r="B1" s="329"/>
      <c r="C1" s="329"/>
      <c r="D1" s="329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</row>
    <row r="2" spans="1:16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</row>
    <row r="3" spans="1:16" ht="14.25">
      <c r="A3" s="81" t="s">
        <v>283</v>
      </c>
      <c r="B3" s="81" t="s">
        <v>43</v>
      </c>
      <c r="C3" s="127" t="s">
        <v>46</v>
      </c>
      <c r="D3" s="127" t="s">
        <v>50</v>
      </c>
      <c r="E3" s="127" t="s">
        <v>871</v>
      </c>
      <c r="F3" s="81" t="s">
        <v>48</v>
      </c>
    </row>
    <row r="4" spans="1:16" ht="14.25">
      <c r="A4" s="102"/>
      <c r="B4" s="82" t="str">
        <f t="shared" ref="B4:B14" si="0">"CIMSCT_"&amp;C4</f>
        <v>CIMSCT_WFTSeciton</v>
      </c>
      <c r="C4" s="102" t="s">
        <v>872</v>
      </c>
      <c r="D4" s="102" t="s">
        <v>873</v>
      </c>
      <c r="E4" s="102" t="s">
        <v>874</v>
      </c>
      <c r="F4" s="82" t="s">
        <v>418</v>
      </c>
      <c r="G4" s="82"/>
      <c r="H4" s="82"/>
      <c r="I4" s="82"/>
      <c r="J4" s="82"/>
      <c r="K4" s="82"/>
      <c r="L4" s="82"/>
      <c r="M4" s="82"/>
      <c r="N4" s="82"/>
      <c r="O4" s="82"/>
    </row>
    <row r="5" spans="1:16" ht="14.25">
      <c r="A5" s="102"/>
      <c r="B5" s="82" t="str">
        <f t="shared" si="0"/>
        <v>CIMSCT_WFTSeciton_List</v>
      </c>
      <c r="C5" s="102" t="s">
        <v>875</v>
      </c>
      <c r="D5" s="102" t="s">
        <v>876</v>
      </c>
      <c r="E5" s="102" t="s">
        <v>874</v>
      </c>
      <c r="F5" s="82" t="s">
        <v>418</v>
      </c>
      <c r="G5" s="82"/>
      <c r="H5" s="82"/>
      <c r="I5" s="82"/>
      <c r="J5" s="82"/>
      <c r="K5" s="82"/>
      <c r="L5" s="82"/>
      <c r="M5" s="82"/>
      <c r="N5" s="82"/>
      <c r="O5" s="82"/>
    </row>
    <row r="6" spans="1:16" ht="14.25">
      <c r="A6" s="102"/>
      <c r="B6" s="82" t="str">
        <f t="shared" si="0"/>
        <v>CIMSCT_WFSSeciton_List</v>
      </c>
      <c r="C6" s="102" t="s">
        <v>877</v>
      </c>
      <c r="D6" s="102" t="s">
        <v>878</v>
      </c>
      <c r="E6" s="102" t="s">
        <v>879</v>
      </c>
      <c r="F6" s="82" t="s">
        <v>418</v>
      </c>
      <c r="G6" s="82"/>
      <c r="H6" s="82"/>
      <c r="I6" s="82"/>
      <c r="J6" s="82"/>
      <c r="K6" s="82"/>
      <c r="L6" s="82"/>
      <c r="M6" s="82"/>
      <c r="N6" s="82"/>
      <c r="O6" s="82"/>
    </row>
    <row r="7" spans="1:16">
      <c r="A7" s="102"/>
      <c r="B7" s="82" t="str">
        <f t="shared" si="0"/>
        <v>CIMSCT_WFSSeciton_Detail</v>
      </c>
      <c r="C7" s="102" t="s">
        <v>880</v>
      </c>
      <c r="D7" s="102" t="s">
        <v>881</v>
      </c>
      <c r="E7" s="102" t="s">
        <v>882</v>
      </c>
      <c r="F7" s="102" t="s">
        <v>418</v>
      </c>
      <c r="G7" s="82"/>
      <c r="H7" s="82"/>
      <c r="I7" s="82"/>
      <c r="J7" s="82"/>
      <c r="K7" s="82"/>
      <c r="L7" s="82"/>
      <c r="M7" s="82"/>
      <c r="N7" s="82"/>
      <c r="O7" s="82"/>
    </row>
    <row r="8" spans="1:16">
      <c r="A8" s="102"/>
      <c r="B8" s="82" t="str">
        <f t="shared" si="0"/>
        <v>CIMSCT_WFSSeciton_Detail_RichText</v>
      </c>
      <c r="C8" s="102" t="s">
        <v>883</v>
      </c>
      <c r="D8" s="102" t="s">
        <v>884</v>
      </c>
      <c r="E8" s="102" t="s">
        <v>884</v>
      </c>
      <c r="F8" s="102" t="s">
        <v>418</v>
      </c>
      <c r="G8" s="82"/>
      <c r="H8" s="82"/>
      <c r="I8" s="82"/>
      <c r="J8" s="82"/>
      <c r="K8" s="82"/>
      <c r="L8" s="82"/>
      <c r="M8" s="82"/>
      <c r="N8" s="82"/>
      <c r="O8" s="82"/>
    </row>
    <row r="9" spans="1:16" ht="14.25">
      <c r="A9" s="102"/>
      <c r="B9" s="82" t="str">
        <f t="shared" si="0"/>
        <v>CIMSCT_WFST_Section_W</v>
      </c>
      <c r="C9" s="102" t="s">
        <v>885</v>
      </c>
      <c r="D9" s="102" t="s">
        <v>843</v>
      </c>
      <c r="E9" s="102" t="s">
        <v>879</v>
      </c>
      <c r="F9" s="82" t="s">
        <v>418</v>
      </c>
      <c r="G9" s="82"/>
      <c r="H9" s="82"/>
      <c r="I9" s="82"/>
      <c r="J9" s="82"/>
      <c r="K9" s="82"/>
      <c r="L9" s="82"/>
      <c r="M9" s="82"/>
      <c r="N9" s="82"/>
      <c r="O9" s="82"/>
    </row>
    <row r="10" spans="1:16" ht="14.25">
      <c r="A10" s="102"/>
      <c r="B10" s="82" t="str">
        <f t="shared" si="0"/>
        <v>CIMSCT_WFST_Section_I</v>
      </c>
      <c r="C10" s="102" t="s">
        <v>886</v>
      </c>
      <c r="D10" s="102" t="s">
        <v>846</v>
      </c>
      <c r="E10" s="102" t="s">
        <v>879</v>
      </c>
      <c r="F10" s="82" t="s">
        <v>418</v>
      </c>
      <c r="G10" s="82"/>
      <c r="H10" s="82"/>
      <c r="I10" s="82"/>
      <c r="J10" s="82"/>
      <c r="K10" s="82"/>
      <c r="L10" s="82"/>
      <c r="M10" s="82"/>
      <c r="N10" s="82"/>
      <c r="O10" s="82"/>
    </row>
    <row r="11" spans="1:16" ht="14.25">
      <c r="A11" s="102"/>
      <c r="B11" s="82" t="str">
        <f t="shared" si="0"/>
        <v>CIMSCT_WFST_Section_P</v>
      </c>
      <c r="C11" s="102" t="s">
        <v>887</v>
      </c>
      <c r="D11" s="102" t="s">
        <v>849</v>
      </c>
      <c r="E11" s="102" t="s">
        <v>879</v>
      </c>
      <c r="F11" s="82" t="s">
        <v>418</v>
      </c>
      <c r="G11" s="82"/>
      <c r="H11" s="82"/>
      <c r="I11" s="82"/>
      <c r="J11" s="82"/>
      <c r="K11" s="82"/>
      <c r="L11" s="82"/>
      <c r="M11" s="82"/>
      <c r="N11" s="82"/>
      <c r="O11" s="82"/>
    </row>
    <row r="12" spans="1:16">
      <c r="A12" s="102"/>
      <c r="B12" s="82" t="str">
        <f t="shared" si="0"/>
        <v>CIMSCT_WFC_Section</v>
      </c>
      <c r="C12" s="102" t="s">
        <v>888</v>
      </c>
      <c r="D12" s="128" t="s">
        <v>407</v>
      </c>
      <c r="E12" s="128" t="s">
        <v>889</v>
      </c>
      <c r="F12" s="82" t="s">
        <v>418</v>
      </c>
      <c r="G12" s="82"/>
      <c r="H12" s="82"/>
      <c r="I12" s="82"/>
      <c r="J12" s="82"/>
      <c r="K12" s="82"/>
      <c r="L12" s="82"/>
      <c r="M12" s="82"/>
      <c r="N12" s="82"/>
      <c r="O12" s="82"/>
    </row>
    <row r="13" spans="1:16">
      <c r="A13" s="102"/>
      <c r="B13" s="82" t="str">
        <f t="shared" si="0"/>
        <v>CIMSCT_WF_Section_List</v>
      </c>
      <c r="C13" s="102" t="s">
        <v>890</v>
      </c>
      <c r="D13" s="128" t="s">
        <v>891</v>
      </c>
      <c r="E13" s="128" t="s">
        <v>891</v>
      </c>
      <c r="F13" s="102" t="s">
        <v>418</v>
      </c>
      <c r="G13" s="82"/>
      <c r="H13" s="82"/>
      <c r="I13" s="82"/>
      <c r="J13" s="82"/>
      <c r="K13" s="82"/>
      <c r="L13" s="82"/>
      <c r="M13" s="82"/>
      <c r="N13" s="82"/>
      <c r="O13" s="82"/>
    </row>
    <row r="14" spans="1:16">
      <c r="A14" s="102"/>
      <c r="B14" s="82" t="str">
        <f t="shared" si="0"/>
        <v>CIMSCT_WF_Section_Detail</v>
      </c>
      <c r="C14" s="102" t="s">
        <v>892</v>
      </c>
      <c r="D14" s="128" t="s">
        <v>893</v>
      </c>
      <c r="E14" s="128" t="s">
        <v>893</v>
      </c>
      <c r="F14" s="102" t="s">
        <v>418</v>
      </c>
      <c r="G14" s="82"/>
      <c r="H14" s="82"/>
      <c r="I14" s="82"/>
      <c r="J14" s="82"/>
      <c r="K14" s="82"/>
      <c r="L14" s="82"/>
      <c r="M14" s="82"/>
      <c r="N14" s="82"/>
      <c r="O14" s="82"/>
    </row>
    <row r="15" spans="1:16">
      <c r="A15" s="82"/>
      <c r="B15" s="82"/>
      <c r="D15" s="82"/>
      <c r="E15" s="82"/>
      <c r="F15" s="82"/>
      <c r="H15" s="82"/>
      <c r="I15" s="82"/>
      <c r="J15" s="82"/>
      <c r="K15" s="82"/>
      <c r="L15" s="82"/>
      <c r="M15" s="82"/>
      <c r="N15" s="82"/>
      <c r="O15" s="82"/>
      <c r="P15" s="82"/>
    </row>
    <row r="16" spans="1:16" ht="14.25">
      <c r="A16" s="81" t="s">
        <v>24</v>
      </c>
      <c r="B16" s="81" t="s">
        <v>43</v>
      </c>
      <c r="C16" s="129" t="s">
        <v>81</v>
      </c>
      <c r="D16" s="129" t="s">
        <v>76</v>
      </c>
      <c r="E16" s="129" t="s">
        <v>79</v>
      </c>
      <c r="F16" s="129" t="s">
        <v>83</v>
      </c>
      <c r="G16" s="129" t="s">
        <v>82</v>
      </c>
      <c r="H16" s="129" t="s">
        <v>78</v>
      </c>
      <c r="I16" s="129" t="s">
        <v>80</v>
      </c>
      <c r="J16" s="129" t="s">
        <v>84</v>
      </c>
      <c r="K16" s="129" t="s">
        <v>85</v>
      </c>
      <c r="L16" s="138" t="s">
        <v>894</v>
      </c>
      <c r="M16" s="85" t="s">
        <v>895</v>
      </c>
      <c r="N16" s="139" t="s">
        <v>896</v>
      </c>
      <c r="O16" s="139" t="s">
        <v>897</v>
      </c>
      <c r="P16" s="81" t="s">
        <v>48</v>
      </c>
    </row>
    <row r="17" spans="1:16">
      <c r="A17" s="82"/>
      <c r="B17" s="130" t="str">
        <f t="shared" ref="B17:B26" si="1">F17&amp;"."&amp;C17&amp;"."&amp;G17</f>
        <v>UIContainer2Section.CIMUICont_WFT_C_create.CIMSCT_ObjectSection_Create</v>
      </c>
      <c r="C17" s="130" t="s">
        <v>858</v>
      </c>
      <c r="D17" s="130" t="s">
        <v>824</v>
      </c>
      <c r="E17" s="130" t="s">
        <v>114</v>
      </c>
      <c r="F17" s="130" t="s">
        <v>127</v>
      </c>
      <c r="G17" s="130" t="s">
        <v>898</v>
      </c>
      <c r="H17" s="130" t="s">
        <v>899</v>
      </c>
      <c r="I17" s="130" t="s">
        <v>283</v>
      </c>
      <c r="J17" s="130">
        <v>10</v>
      </c>
      <c r="K17" s="130" t="b">
        <v>1</v>
      </c>
      <c r="L17" s="130" t="b">
        <v>1</v>
      </c>
      <c r="M17" s="130" t="s">
        <v>826</v>
      </c>
      <c r="N17" s="130">
        <v>24</v>
      </c>
      <c r="O17" s="130"/>
      <c r="P17" s="130" t="s">
        <v>418</v>
      </c>
    </row>
    <row r="18" spans="1:16">
      <c r="B18" s="130" t="str">
        <f t="shared" si="1"/>
        <v>UIContainer2Section.CIMUICont_WFT_C_create.CIMSCT_WFTSeciton</v>
      </c>
      <c r="C18" s="130" t="s">
        <v>858</v>
      </c>
      <c r="D18" s="130" t="s">
        <v>824</v>
      </c>
      <c r="E18" s="130" t="s">
        <v>114</v>
      </c>
      <c r="F18" s="130" t="s">
        <v>127</v>
      </c>
      <c r="G18" s="130" t="s">
        <v>900</v>
      </c>
      <c r="H18" s="130" t="s">
        <v>872</v>
      </c>
      <c r="I18" s="130" t="s">
        <v>283</v>
      </c>
      <c r="J18" s="130">
        <v>11</v>
      </c>
      <c r="K18" s="130" t="b">
        <v>1</v>
      </c>
      <c r="L18" s="130" t="b">
        <v>1</v>
      </c>
      <c r="M18" s="130" t="s">
        <v>826</v>
      </c>
      <c r="N18" s="140">
        <v>24</v>
      </c>
      <c r="O18" s="130"/>
      <c r="P18" s="130" t="s">
        <v>418</v>
      </c>
    </row>
    <row r="19" spans="1:16">
      <c r="B19" s="131" t="str">
        <f t="shared" si="1"/>
        <v>UIContainer2Section.CIMUICont_WFT_U_update.CIMSCT_ObjectSection_Update</v>
      </c>
      <c r="C19" s="131" t="s">
        <v>859</v>
      </c>
      <c r="D19" s="131" t="s">
        <v>827</v>
      </c>
      <c r="E19" s="131" t="s">
        <v>114</v>
      </c>
      <c r="F19" s="131" t="s">
        <v>127</v>
      </c>
      <c r="G19" s="131" t="s">
        <v>901</v>
      </c>
      <c r="H19" s="131" t="s">
        <v>902</v>
      </c>
      <c r="I19" s="131" t="s">
        <v>283</v>
      </c>
      <c r="J19" s="131">
        <v>10</v>
      </c>
      <c r="K19" s="131" t="b">
        <v>1</v>
      </c>
      <c r="L19" s="131" t="b">
        <v>1</v>
      </c>
      <c r="M19" s="141" t="s">
        <v>829</v>
      </c>
      <c r="N19" s="131">
        <v>24</v>
      </c>
      <c r="O19" s="131"/>
      <c r="P19" s="131" t="s">
        <v>418</v>
      </c>
    </row>
    <row r="20" spans="1:16">
      <c r="B20" s="131" t="str">
        <f t="shared" si="1"/>
        <v>UIContainer2Section.CIMUICont_WFT_U_update.CIMSCT_WFTSeciton</v>
      </c>
      <c r="C20" s="131" t="s">
        <v>859</v>
      </c>
      <c r="D20" s="131" t="s">
        <v>827</v>
      </c>
      <c r="E20" s="131" t="s">
        <v>114</v>
      </c>
      <c r="F20" s="131" t="s">
        <v>127</v>
      </c>
      <c r="G20" s="131" t="s">
        <v>900</v>
      </c>
      <c r="H20" s="131" t="s">
        <v>872</v>
      </c>
      <c r="I20" s="131" t="s">
        <v>283</v>
      </c>
      <c r="J20" s="131">
        <v>11</v>
      </c>
      <c r="K20" s="131" t="b">
        <v>1</v>
      </c>
      <c r="L20" s="131" t="b">
        <v>1</v>
      </c>
      <c r="M20" s="141" t="s">
        <v>829</v>
      </c>
      <c r="N20" s="141">
        <v>24</v>
      </c>
      <c r="O20" s="131"/>
      <c r="P20" s="131" t="s">
        <v>418</v>
      </c>
    </row>
    <row r="21" spans="1:16">
      <c r="B21" s="106" t="str">
        <f t="shared" si="1"/>
        <v>UIContainer2Section.CIMUICont_WFT_L_list.CIMSCT_ObjectSection_List</v>
      </c>
      <c r="C21" s="106" t="s">
        <v>857</v>
      </c>
      <c r="D21" s="106" t="s">
        <v>821</v>
      </c>
      <c r="E21" s="106" t="s">
        <v>114</v>
      </c>
      <c r="F21" s="106" t="s">
        <v>127</v>
      </c>
      <c r="G21" s="106" t="s">
        <v>903</v>
      </c>
      <c r="H21" s="106" t="s">
        <v>904</v>
      </c>
      <c r="I21" s="106" t="s">
        <v>283</v>
      </c>
      <c r="J21" s="106">
        <v>10</v>
      </c>
      <c r="K21" s="106" t="b">
        <v>1</v>
      </c>
      <c r="L21" s="106" t="b">
        <v>1</v>
      </c>
      <c r="M21" s="115" t="s">
        <v>823</v>
      </c>
      <c r="N21" s="106">
        <v>24</v>
      </c>
      <c r="O21" s="106"/>
      <c r="P21" s="106" t="s">
        <v>418</v>
      </c>
    </row>
    <row r="22" spans="1:16">
      <c r="B22" s="132" t="str">
        <f t="shared" si="1"/>
        <v>UIContainer2Section.CIMUICont_WFT_L_list.CIMSCT_WFTSeciton_List</v>
      </c>
      <c r="C22" s="132" t="s">
        <v>857</v>
      </c>
      <c r="D22" s="132" t="s">
        <v>821</v>
      </c>
      <c r="E22" s="132" t="s">
        <v>114</v>
      </c>
      <c r="F22" s="132" t="s">
        <v>127</v>
      </c>
      <c r="G22" s="132" t="s">
        <v>905</v>
      </c>
      <c r="H22" s="132" t="s">
        <v>875</v>
      </c>
      <c r="I22" s="132" t="s">
        <v>283</v>
      </c>
      <c r="J22" s="132">
        <v>11</v>
      </c>
      <c r="K22" s="132" t="b">
        <v>1</v>
      </c>
      <c r="L22" s="132" t="b">
        <v>1</v>
      </c>
      <c r="M22" s="142" t="s">
        <v>823</v>
      </c>
      <c r="N22" s="142">
        <v>24</v>
      </c>
      <c r="O22" s="132"/>
      <c r="P22" s="132" t="s">
        <v>418</v>
      </c>
    </row>
    <row r="23" spans="1:16">
      <c r="B23" s="133" t="str">
        <f t="shared" si="1"/>
        <v>UIContainer2Section.CIMUICont_WFS_L_list.CIMSCT_WFSSeciton_List</v>
      </c>
      <c r="C23" s="133" t="s">
        <v>862</v>
      </c>
      <c r="D23" s="133" t="s">
        <v>834</v>
      </c>
      <c r="E23" s="133" t="s">
        <v>114</v>
      </c>
      <c r="F23" s="133" t="s">
        <v>127</v>
      </c>
      <c r="G23" s="137" t="s">
        <v>906</v>
      </c>
      <c r="H23" s="137" t="s">
        <v>877</v>
      </c>
      <c r="I23" s="133" t="s">
        <v>283</v>
      </c>
      <c r="J23" s="133">
        <v>11</v>
      </c>
      <c r="K23" s="133" t="b">
        <v>1</v>
      </c>
      <c r="L23" s="133" t="b">
        <v>1</v>
      </c>
      <c r="M23" s="143" t="s">
        <v>823</v>
      </c>
      <c r="N23" s="143">
        <v>24</v>
      </c>
      <c r="O23" s="133"/>
      <c r="P23" s="133" t="s">
        <v>418</v>
      </c>
    </row>
    <row r="24" spans="1:16">
      <c r="B24" s="118" t="str">
        <f t="shared" si="1"/>
        <v>UIContainer2Section.CIMUICont_WFS_U_update.CIMSCT_WFSSeciton_Update</v>
      </c>
      <c r="C24" s="118" t="s">
        <v>836</v>
      </c>
      <c r="D24" s="118" t="s">
        <v>837</v>
      </c>
      <c r="E24" s="118" t="s">
        <v>114</v>
      </c>
      <c r="F24" s="118" t="s">
        <v>127</v>
      </c>
      <c r="G24" s="118" t="s">
        <v>907</v>
      </c>
      <c r="H24" s="118" t="s">
        <v>908</v>
      </c>
      <c r="I24" s="118" t="s">
        <v>283</v>
      </c>
      <c r="J24" s="118">
        <v>11</v>
      </c>
      <c r="K24" s="118" t="b">
        <v>1</v>
      </c>
      <c r="L24" s="118" t="b">
        <v>1</v>
      </c>
      <c r="M24" s="123" t="s">
        <v>829</v>
      </c>
      <c r="N24" s="123">
        <v>24</v>
      </c>
      <c r="O24" s="118"/>
      <c r="P24" s="118" t="s">
        <v>418</v>
      </c>
    </row>
    <row r="25" spans="1:16">
      <c r="B25" s="134" t="str">
        <f t="shared" si="1"/>
        <v>UIContainer2Section.CIMUICont_WFS_D_detail.CIMSCT_WFSSeciton_Detail</v>
      </c>
      <c r="C25" s="134" t="s">
        <v>863</v>
      </c>
      <c r="D25" s="134" t="s">
        <v>839</v>
      </c>
      <c r="E25" s="134" t="s">
        <v>114</v>
      </c>
      <c r="F25" s="134" t="s">
        <v>127</v>
      </c>
      <c r="G25" s="134" t="s">
        <v>909</v>
      </c>
      <c r="H25" s="134" t="s">
        <v>880</v>
      </c>
      <c r="I25" s="134" t="s">
        <v>283</v>
      </c>
      <c r="J25" s="134">
        <v>11</v>
      </c>
      <c r="K25" s="134" t="b">
        <v>1</v>
      </c>
      <c r="L25" s="134" t="b">
        <v>1</v>
      </c>
      <c r="M25" s="144" t="s">
        <v>841</v>
      </c>
      <c r="N25" s="144">
        <v>24</v>
      </c>
      <c r="O25" s="134"/>
      <c r="P25" s="134" t="s">
        <v>418</v>
      </c>
    </row>
    <row r="26" spans="1:16">
      <c r="B26" s="134" t="str">
        <f t="shared" si="1"/>
        <v>UIContainer2Section.CIMUICont_WFS_D_detail.CIMSCT_WFSSeciton_Detail_RichText</v>
      </c>
      <c r="C26" s="134" t="s">
        <v>863</v>
      </c>
      <c r="D26" s="134" t="s">
        <v>839</v>
      </c>
      <c r="E26" s="134" t="s">
        <v>114</v>
      </c>
      <c r="F26" s="134" t="s">
        <v>127</v>
      </c>
      <c r="G26" s="134" t="s">
        <v>910</v>
      </c>
      <c r="H26" s="134" t="s">
        <v>883</v>
      </c>
      <c r="I26" s="134" t="s">
        <v>283</v>
      </c>
      <c r="J26" s="134">
        <v>12</v>
      </c>
      <c r="K26" s="134" t="b">
        <v>1</v>
      </c>
      <c r="L26" s="134" t="b">
        <v>1</v>
      </c>
      <c r="M26" s="144" t="s">
        <v>841</v>
      </c>
      <c r="N26" s="144">
        <v>24</v>
      </c>
      <c r="O26" s="134"/>
      <c r="P26" s="134" t="s">
        <v>418</v>
      </c>
    </row>
    <row r="27" spans="1:16">
      <c r="B27" s="131" t="str">
        <f t="shared" ref="B27:B37" si="2">F27&amp;"."&amp;C27&amp;"."&amp;G27</f>
        <v>UIContainer2Section.CIMUICont_WFS_P_WSC_P.CIMSCT_ObjectSection_Create</v>
      </c>
      <c r="C27" s="131" t="s">
        <v>864</v>
      </c>
      <c r="D27" s="131" t="s">
        <v>842</v>
      </c>
      <c r="E27" s="131" t="s">
        <v>114</v>
      </c>
      <c r="F27" s="131" t="s">
        <v>127</v>
      </c>
      <c r="G27" s="131" t="s">
        <v>898</v>
      </c>
      <c r="H27" s="131" t="s">
        <v>899</v>
      </c>
      <c r="I27" s="131" t="s">
        <v>283</v>
      </c>
      <c r="J27" s="131">
        <v>12</v>
      </c>
      <c r="K27" s="131" t="b">
        <v>1</v>
      </c>
      <c r="L27" s="131" t="b">
        <v>1</v>
      </c>
      <c r="M27" s="131" t="s">
        <v>844</v>
      </c>
      <c r="N27" s="141">
        <v>24</v>
      </c>
      <c r="O27" s="131"/>
      <c r="P27" s="131" t="s">
        <v>418</v>
      </c>
    </row>
    <row r="28" spans="1:16">
      <c r="B28" s="131" t="str">
        <f t="shared" si="2"/>
        <v>UIContainer2Section.CIMUICont_WFS_P_WSC_P.CIMSCT_WFST_Section_P</v>
      </c>
      <c r="C28" s="131" t="s">
        <v>864</v>
      </c>
      <c r="D28" s="131" t="s">
        <v>842</v>
      </c>
      <c r="E28" s="131" t="s">
        <v>114</v>
      </c>
      <c r="F28" s="131" t="s">
        <v>127</v>
      </c>
      <c r="G28" s="131" t="s">
        <v>911</v>
      </c>
      <c r="H28" s="131" t="s">
        <v>887</v>
      </c>
      <c r="I28" s="131" t="s">
        <v>283</v>
      </c>
      <c r="J28" s="131">
        <v>13</v>
      </c>
      <c r="K28" s="131" t="b">
        <v>1</v>
      </c>
      <c r="L28" s="131" t="b">
        <v>1</v>
      </c>
      <c r="M28" s="131" t="s">
        <v>844</v>
      </c>
      <c r="N28" s="141">
        <v>24</v>
      </c>
      <c r="O28" s="131"/>
      <c r="P28" s="131" t="s">
        <v>418</v>
      </c>
    </row>
    <row r="29" spans="1:16">
      <c r="B29" s="130" t="str">
        <f t="shared" si="2"/>
        <v>UIContainer2Section.CIMUICont_WFS_W_WSC_W.CIMSCT_ObjectSection_Create</v>
      </c>
      <c r="C29" s="130" t="s">
        <v>866</v>
      </c>
      <c r="D29" s="130" t="s">
        <v>848</v>
      </c>
      <c r="E29" s="130" t="s">
        <v>114</v>
      </c>
      <c r="F29" s="130" t="s">
        <v>127</v>
      </c>
      <c r="G29" s="130" t="s">
        <v>898</v>
      </c>
      <c r="H29" s="130" t="s">
        <v>899</v>
      </c>
      <c r="I29" s="130" t="s">
        <v>283</v>
      </c>
      <c r="J29" s="130">
        <v>14</v>
      </c>
      <c r="K29" s="130" t="b">
        <v>1</v>
      </c>
      <c r="L29" s="130" t="b">
        <v>1</v>
      </c>
      <c r="M29" s="130" t="s">
        <v>850</v>
      </c>
      <c r="N29" s="140">
        <v>24</v>
      </c>
      <c r="O29" s="130"/>
      <c r="P29" s="130" t="s">
        <v>418</v>
      </c>
    </row>
    <row r="30" spans="1:16">
      <c r="B30" s="130" t="str">
        <f t="shared" si="2"/>
        <v>UIContainer2Section.CIMUICont_WFS_W_WSC_W.CIMSCT_WFST_Section_W</v>
      </c>
      <c r="C30" s="130" t="s">
        <v>866</v>
      </c>
      <c r="D30" s="130" t="s">
        <v>848</v>
      </c>
      <c r="E30" s="130" t="s">
        <v>114</v>
      </c>
      <c r="F30" s="130" t="s">
        <v>127</v>
      </c>
      <c r="G30" s="130" t="s">
        <v>912</v>
      </c>
      <c r="H30" s="130" t="s">
        <v>885</v>
      </c>
      <c r="I30" s="130" t="s">
        <v>283</v>
      </c>
      <c r="J30" s="130">
        <v>15</v>
      </c>
      <c r="K30" s="130" t="b">
        <v>1</v>
      </c>
      <c r="L30" s="130" t="b">
        <v>1</v>
      </c>
      <c r="M30" s="130" t="s">
        <v>850</v>
      </c>
      <c r="N30" s="140">
        <v>24</v>
      </c>
      <c r="O30" s="130"/>
      <c r="P30" s="130" t="s">
        <v>418</v>
      </c>
    </row>
    <row r="31" spans="1:16">
      <c r="B31" s="135" t="str">
        <f t="shared" si="2"/>
        <v>UIContainer2Section.CIMUICont_WFS_I_WSC_I.CIMSCT_ObjectSection_Create</v>
      </c>
      <c r="C31" s="135" t="s">
        <v>865</v>
      </c>
      <c r="D31" s="135" t="s">
        <v>845</v>
      </c>
      <c r="E31" s="135" t="s">
        <v>114</v>
      </c>
      <c r="F31" s="135" t="s">
        <v>127</v>
      </c>
      <c r="G31" s="135" t="s">
        <v>898</v>
      </c>
      <c r="H31" s="135" t="s">
        <v>899</v>
      </c>
      <c r="I31" s="135" t="s">
        <v>283</v>
      </c>
      <c r="J31" s="135">
        <v>16</v>
      </c>
      <c r="K31" s="135" t="b">
        <v>1</v>
      </c>
      <c r="L31" s="135" t="b">
        <v>1</v>
      </c>
      <c r="M31" s="135" t="s">
        <v>847</v>
      </c>
      <c r="N31" s="145">
        <v>24</v>
      </c>
      <c r="O31" s="135"/>
      <c r="P31" s="135" t="s">
        <v>418</v>
      </c>
    </row>
    <row r="32" spans="1:16">
      <c r="B32" s="136" t="str">
        <f t="shared" si="2"/>
        <v>UIContainer2Section.CIMUICont_WFS_I_WSC_I.CIMSCT_WFST_Section_I</v>
      </c>
      <c r="C32" s="136" t="s">
        <v>865</v>
      </c>
      <c r="D32" s="136" t="s">
        <v>845</v>
      </c>
      <c r="E32" s="136" t="s">
        <v>114</v>
      </c>
      <c r="F32" s="136" t="s">
        <v>127</v>
      </c>
      <c r="G32" s="136" t="s">
        <v>913</v>
      </c>
      <c r="H32" s="136" t="s">
        <v>886</v>
      </c>
      <c r="I32" s="136" t="s">
        <v>283</v>
      </c>
      <c r="J32" s="136">
        <v>17</v>
      </c>
      <c r="K32" s="136" t="b">
        <v>1</v>
      </c>
      <c r="L32" s="136" t="b">
        <v>1</v>
      </c>
      <c r="M32" s="136" t="s">
        <v>847</v>
      </c>
      <c r="N32" s="146">
        <v>24</v>
      </c>
      <c r="O32" s="136"/>
      <c r="P32" s="136" t="s">
        <v>418</v>
      </c>
    </row>
    <row r="33" spans="2:16">
      <c r="B33" s="147" t="str">
        <f t="shared" si="2"/>
        <v>UIContainer2Section.CIMUICont_WFC_CU_cu.CIMSCT_WFC_Section</v>
      </c>
      <c r="C33" s="147" t="s">
        <v>867</v>
      </c>
      <c r="D33" s="147" t="s">
        <v>851</v>
      </c>
      <c r="E33" s="147" t="s">
        <v>114</v>
      </c>
      <c r="F33" s="147" t="s">
        <v>127</v>
      </c>
      <c r="G33" s="147" t="s">
        <v>914</v>
      </c>
      <c r="H33" s="147" t="s">
        <v>888</v>
      </c>
      <c r="I33" s="147" t="s">
        <v>283</v>
      </c>
      <c r="J33" s="147">
        <v>18</v>
      </c>
      <c r="K33" s="147" t="b">
        <v>1</v>
      </c>
      <c r="L33" s="147" t="b">
        <v>1</v>
      </c>
      <c r="M33" s="147" t="s">
        <v>852</v>
      </c>
      <c r="N33" s="147">
        <v>24</v>
      </c>
      <c r="O33" s="147"/>
      <c r="P33" s="147" t="s">
        <v>418</v>
      </c>
    </row>
    <row r="34" spans="2:16">
      <c r="B34" s="147" t="str">
        <f t="shared" si="2"/>
        <v>UIContainer2Section.CIMUICont_WFC_CU_cu.CIMSCT_ObjectSection_Create</v>
      </c>
      <c r="C34" s="147" t="s">
        <v>867</v>
      </c>
      <c r="D34" s="147" t="s">
        <v>851</v>
      </c>
      <c r="E34" s="147" t="s">
        <v>114</v>
      </c>
      <c r="F34" s="147" t="s">
        <v>127</v>
      </c>
      <c r="G34" s="153" t="s">
        <v>898</v>
      </c>
      <c r="H34" s="153" t="s">
        <v>899</v>
      </c>
      <c r="I34" s="153" t="s">
        <v>283</v>
      </c>
      <c r="J34" s="153">
        <v>10</v>
      </c>
      <c r="K34" s="153" t="b">
        <v>1</v>
      </c>
      <c r="L34" s="153" t="b">
        <v>1</v>
      </c>
      <c r="M34" s="153" t="s">
        <v>852</v>
      </c>
      <c r="N34" s="153">
        <v>24</v>
      </c>
      <c r="O34" s="153"/>
      <c r="P34" s="153" t="s">
        <v>418</v>
      </c>
    </row>
    <row r="35" spans="2:16">
      <c r="B35" s="148" t="str">
        <f t="shared" si="2"/>
        <v>UIContainer2Section.CIMUICont_WFC_CU_cu.CIMSCT_OrderObjSection</v>
      </c>
      <c r="C35" s="148" t="s">
        <v>867</v>
      </c>
      <c r="D35" s="148" t="s">
        <v>851</v>
      </c>
      <c r="E35" s="148" t="s">
        <v>114</v>
      </c>
      <c r="F35" s="148" t="s">
        <v>127</v>
      </c>
      <c r="G35" s="148" t="s">
        <v>915</v>
      </c>
      <c r="H35" s="148" t="s">
        <v>916</v>
      </c>
      <c r="I35" s="148" t="s">
        <v>283</v>
      </c>
      <c r="J35" s="148">
        <v>11</v>
      </c>
      <c r="K35" s="148" t="b">
        <v>1</v>
      </c>
      <c r="L35" s="154" t="b">
        <v>1</v>
      </c>
      <c r="M35" s="154" t="s">
        <v>852</v>
      </c>
      <c r="N35" s="154">
        <v>24</v>
      </c>
      <c r="O35" s="154"/>
      <c r="P35" s="154" t="s">
        <v>418</v>
      </c>
    </row>
    <row r="36" spans="2:16">
      <c r="B36" s="149" t="str">
        <f t="shared" si="2"/>
        <v>UIContainer2Section.CIMUICont_WF_L_list.CIMSCT_WF_Section_List</v>
      </c>
      <c r="C36" s="150" t="s">
        <v>868</v>
      </c>
      <c r="D36" s="151" t="s">
        <v>853</v>
      </c>
      <c r="E36" s="149" t="s">
        <v>114</v>
      </c>
      <c r="F36" s="149" t="s">
        <v>127</v>
      </c>
      <c r="G36" s="106" t="s">
        <v>917</v>
      </c>
      <c r="H36" s="106" t="s">
        <v>890</v>
      </c>
      <c r="I36" s="106" t="s">
        <v>283</v>
      </c>
      <c r="J36" s="106">
        <v>10</v>
      </c>
      <c r="K36" s="106" t="b">
        <v>1</v>
      </c>
      <c r="L36" s="106" t="b">
        <v>1</v>
      </c>
      <c r="M36" s="115" t="s">
        <v>823</v>
      </c>
      <c r="N36" s="106">
        <v>24</v>
      </c>
      <c r="O36" s="106"/>
      <c r="P36" s="106" t="s">
        <v>418</v>
      </c>
    </row>
    <row r="37" spans="2:16">
      <c r="B37" s="152" t="str">
        <f t="shared" si="2"/>
        <v>UIContainer2Section.CIMUICont_WF_D_detail.CIMSCT_WF_Section_Detail</v>
      </c>
      <c r="C37" s="125" t="s">
        <v>869</v>
      </c>
      <c r="D37" s="125" t="s">
        <v>855</v>
      </c>
      <c r="E37" s="152" t="s">
        <v>114</v>
      </c>
      <c r="F37" s="152" t="s">
        <v>127</v>
      </c>
      <c r="G37" s="125" t="s">
        <v>918</v>
      </c>
      <c r="H37" s="125" t="s">
        <v>892</v>
      </c>
      <c r="I37" s="125" t="s">
        <v>283</v>
      </c>
      <c r="J37" s="125">
        <v>10</v>
      </c>
      <c r="K37" s="125" t="b">
        <v>1</v>
      </c>
      <c r="L37" s="125" t="b">
        <v>1</v>
      </c>
      <c r="M37" s="126" t="s">
        <v>841</v>
      </c>
      <c r="N37" s="125">
        <v>24</v>
      </c>
      <c r="O37" s="125"/>
      <c r="P37" s="125" t="s">
        <v>418</v>
      </c>
    </row>
    <row r="38" spans="2:16">
      <c r="L38" s="102"/>
    </row>
    <row r="39" spans="2:16">
      <c r="L39" s="102"/>
    </row>
  </sheetData>
  <sheetProtection formatCells="0" insertHyperlinks="0" autoFilter="0"/>
  <mergeCells count="1">
    <mergeCell ref="A1:D1"/>
  </mergeCells>
  <pageMargins left="0.75" right="0.75" top="1" bottom="1" header="0.5" footer="0.5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111"/>
  <sheetViews>
    <sheetView topLeftCell="C27" workbookViewId="0">
      <selection activeCell="C27" sqref="C27:F28"/>
    </sheetView>
  </sheetViews>
  <sheetFormatPr defaultColWidth="9" defaultRowHeight="12"/>
  <cols>
    <col min="1" max="1" width="14" style="92" customWidth="1"/>
    <col min="2" max="2" width="65.7109375" style="92" customWidth="1"/>
    <col min="3" max="3" width="29.5703125" style="92" customWidth="1"/>
    <col min="4" max="4" width="16.28515625" style="92" customWidth="1"/>
    <col min="5" max="5" width="19.7109375" style="92" customWidth="1"/>
    <col min="6" max="6" width="20.7109375" style="92" customWidth="1"/>
    <col min="7" max="7" width="45" style="92" customWidth="1"/>
    <col min="8" max="8" width="36.42578125" style="92" customWidth="1"/>
    <col min="9" max="9" width="21.28515625" style="92" customWidth="1"/>
    <col min="10" max="10" width="14.85546875" style="92" customWidth="1"/>
    <col min="11" max="11" width="21.42578125" style="92" customWidth="1"/>
    <col min="12" max="13" width="15" style="92" customWidth="1"/>
    <col min="14" max="14" width="19.140625" style="92" customWidth="1"/>
    <col min="15" max="15" width="17.7109375" style="92" customWidth="1"/>
    <col min="16" max="16" width="22" style="92" customWidth="1"/>
    <col min="17" max="17" width="16.5703125" style="92" customWidth="1"/>
    <col min="18" max="18" width="17.5703125" style="92" customWidth="1"/>
    <col min="19" max="19" width="5.85546875" style="92" customWidth="1"/>
    <col min="20" max="20" width="4.42578125" style="92" customWidth="1"/>
    <col min="21" max="21" width="27.7109375" style="92" customWidth="1"/>
    <col min="22" max="22" width="8.85546875" style="92" customWidth="1"/>
    <col min="23" max="16384" width="9" style="92"/>
  </cols>
  <sheetData>
    <row r="1" spans="1:22">
      <c r="A1" s="327" t="s">
        <v>466</v>
      </c>
      <c r="B1" s="330"/>
      <c r="C1" s="330"/>
      <c r="D1" s="330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>
      <c r="A3" s="93" t="s">
        <v>116</v>
      </c>
      <c r="B3" s="93" t="s">
        <v>43</v>
      </c>
      <c r="C3" s="94" t="s">
        <v>46</v>
      </c>
      <c r="D3" s="94" t="s">
        <v>50</v>
      </c>
      <c r="E3" s="94" t="s">
        <v>118</v>
      </c>
      <c r="F3" s="94" t="s">
        <v>134</v>
      </c>
      <c r="G3" s="94" t="s">
        <v>135</v>
      </c>
      <c r="H3" s="94" t="s">
        <v>139</v>
      </c>
      <c r="I3" s="94" t="s">
        <v>140</v>
      </c>
      <c r="J3" s="94" t="s">
        <v>142</v>
      </c>
      <c r="K3" s="94" t="s">
        <v>144</v>
      </c>
      <c r="L3" s="94" t="s">
        <v>145</v>
      </c>
      <c r="M3" s="94" t="s">
        <v>146</v>
      </c>
      <c r="N3" s="94" t="s">
        <v>147</v>
      </c>
      <c r="O3" s="94" t="s">
        <v>148</v>
      </c>
      <c r="P3" s="93" t="s">
        <v>48</v>
      </c>
      <c r="Q3" s="2"/>
      <c r="R3" s="2"/>
      <c r="S3" s="2"/>
      <c r="T3" s="2"/>
      <c r="U3" s="2"/>
      <c r="V3" s="104"/>
    </row>
    <row r="4" spans="1:22">
      <c r="A4" s="2"/>
      <c r="B4" s="2" t="str">
        <f t="shared" ref="B4:B28" si="0">"CIMComp_"&amp;C4</f>
        <v>CIMComp_+WorkflowTemplateNotificationType</v>
      </c>
      <c r="C4" s="312" t="s">
        <v>919</v>
      </c>
      <c r="D4" s="96" t="s">
        <v>920</v>
      </c>
      <c r="E4" s="2" t="s">
        <v>921</v>
      </c>
      <c r="F4" s="2"/>
      <c r="G4" s="2"/>
      <c r="H4" s="2"/>
      <c r="I4" s="2" t="b">
        <v>0</v>
      </c>
      <c r="J4" s="2"/>
      <c r="K4" s="2"/>
      <c r="L4" s="2"/>
      <c r="M4" s="2"/>
      <c r="N4" s="2"/>
      <c r="O4" s="2"/>
      <c r="P4" s="2" t="s">
        <v>418</v>
      </c>
      <c r="Q4" s="2"/>
      <c r="R4" s="2"/>
      <c r="S4" s="2"/>
      <c r="T4" s="2"/>
      <c r="U4" s="2"/>
      <c r="V4" s="2"/>
    </row>
    <row r="5" spans="1:22">
      <c r="A5" s="2"/>
      <c r="B5" s="2" t="str">
        <f t="shared" si="0"/>
        <v>CIMComp_-WorkflowConditionCompositions</v>
      </c>
      <c r="C5" s="312" t="s">
        <v>922</v>
      </c>
      <c r="D5" s="96" t="s">
        <v>923</v>
      </c>
      <c r="E5" s="2" t="s">
        <v>921</v>
      </c>
      <c r="F5" s="2"/>
      <c r="G5" s="2"/>
      <c r="H5" s="2"/>
      <c r="I5" s="2" t="b">
        <v>0</v>
      </c>
      <c r="J5" s="2"/>
      <c r="K5" s="2"/>
      <c r="L5" s="2"/>
      <c r="M5" s="2"/>
      <c r="N5" s="2"/>
      <c r="O5" s="2"/>
      <c r="P5" s="2" t="s">
        <v>418</v>
      </c>
      <c r="Q5" s="2"/>
      <c r="R5" s="2"/>
      <c r="S5" s="2"/>
      <c r="T5" s="2"/>
      <c r="U5" s="2"/>
      <c r="V5" s="2"/>
    </row>
    <row r="6" spans="1:22">
      <c r="A6" s="2"/>
      <c r="B6" s="2" t="str">
        <f t="shared" si="0"/>
        <v>CIMComp_WorkflowStepDuration</v>
      </c>
      <c r="C6" s="95" t="s">
        <v>304</v>
      </c>
      <c r="D6" s="96" t="s">
        <v>924</v>
      </c>
      <c r="E6" s="101" t="s">
        <v>925</v>
      </c>
      <c r="F6" s="2"/>
      <c r="G6" s="2"/>
      <c r="H6" s="2"/>
      <c r="I6" s="2"/>
      <c r="J6" s="2"/>
      <c r="K6" s="2"/>
      <c r="L6" s="2"/>
      <c r="M6" s="2"/>
      <c r="N6" s="2"/>
      <c r="O6" s="2"/>
      <c r="P6" s="2" t="s">
        <v>418</v>
      </c>
      <c r="Q6" s="2"/>
      <c r="R6" s="2"/>
      <c r="S6" s="2"/>
      <c r="T6" s="2"/>
      <c r="U6" s="2"/>
      <c r="V6" s="2"/>
    </row>
    <row r="7" spans="1:22">
      <c r="A7" s="2"/>
      <c r="B7" s="2" t="str">
        <f t="shared" si="0"/>
        <v>CIMComp_+WorkflowStepStepDef</v>
      </c>
      <c r="C7" s="312" t="s">
        <v>926</v>
      </c>
      <c r="D7" s="96" t="s">
        <v>927</v>
      </c>
      <c r="E7" s="2" t="s">
        <v>921</v>
      </c>
      <c r="F7" s="2"/>
      <c r="G7" s="2"/>
      <c r="H7" s="2"/>
      <c r="I7" s="2" t="b">
        <v>0</v>
      </c>
      <c r="J7" s="2"/>
      <c r="K7" s="2"/>
      <c r="L7" s="2"/>
      <c r="M7" s="2"/>
      <c r="N7" s="2"/>
      <c r="O7" s="2"/>
      <c r="P7" s="2" t="s">
        <v>418</v>
      </c>
      <c r="Q7" s="2"/>
      <c r="R7" s="2"/>
      <c r="S7" s="2"/>
      <c r="T7" s="2"/>
      <c r="U7" s="2"/>
      <c r="V7" s="2"/>
    </row>
    <row r="8" spans="1:22">
      <c r="A8" s="2"/>
      <c r="B8" s="2" t="str">
        <f t="shared" si="0"/>
        <v>CIMComp_+WorkflowStepSuccessStatus</v>
      </c>
      <c r="C8" s="312" t="s">
        <v>928</v>
      </c>
      <c r="D8" s="96" t="s">
        <v>929</v>
      </c>
      <c r="E8" s="2" t="s">
        <v>921</v>
      </c>
      <c r="F8" s="2"/>
      <c r="G8" s="2"/>
      <c r="H8" s="2"/>
      <c r="I8" s="2" t="b">
        <v>0</v>
      </c>
      <c r="J8" s="2"/>
      <c r="K8" s="2"/>
      <c r="L8" s="2"/>
      <c r="M8" s="2"/>
      <c r="N8" s="2"/>
      <c r="O8" s="2"/>
      <c r="P8" s="2" t="s">
        <v>418</v>
      </c>
      <c r="Q8" s="2"/>
      <c r="R8" s="2"/>
      <c r="S8" s="2"/>
      <c r="T8" s="2"/>
      <c r="U8" s="2"/>
      <c r="V8" s="2"/>
    </row>
    <row r="9" spans="1:22">
      <c r="A9" s="2"/>
      <c r="B9" s="2" t="str">
        <f t="shared" si="0"/>
        <v>CIMComp_+WorkflowStepFailureStatus</v>
      </c>
      <c r="C9" s="312" t="s">
        <v>930</v>
      </c>
      <c r="D9" s="96" t="s">
        <v>931</v>
      </c>
      <c r="E9" s="2" t="s">
        <v>921</v>
      </c>
      <c r="F9" s="2"/>
      <c r="G9" s="2"/>
      <c r="H9" s="2"/>
      <c r="I9" s="2" t="b">
        <v>0</v>
      </c>
      <c r="J9" s="2"/>
      <c r="K9" s="2"/>
      <c r="L9" s="2"/>
      <c r="M9" s="2"/>
      <c r="N9" s="2"/>
      <c r="O9" s="2"/>
      <c r="P9" s="2" t="s">
        <v>418</v>
      </c>
      <c r="Q9" s="2"/>
      <c r="R9" s="2"/>
      <c r="S9" s="2"/>
      <c r="T9" s="2"/>
      <c r="U9" s="2"/>
      <c r="V9" s="2"/>
    </row>
    <row r="10" spans="1:22">
      <c r="A10" s="2"/>
      <c r="B10" s="2" t="str">
        <f t="shared" si="0"/>
        <v>CIMComp_+WorkflowStepStepRecipients</v>
      </c>
      <c r="C10" s="312" t="s">
        <v>932</v>
      </c>
      <c r="D10" s="96" t="s">
        <v>933</v>
      </c>
      <c r="E10" s="101" t="s">
        <v>934</v>
      </c>
      <c r="F10" s="2"/>
      <c r="G10" s="2"/>
      <c r="H10" s="2"/>
      <c r="I10" s="2" t="b">
        <v>1</v>
      </c>
      <c r="J10" s="2" t="s">
        <v>935</v>
      </c>
      <c r="K10" s="2" t="s">
        <v>935</v>
      </c>
      <c r="L10" s="103" t="s">
        <v>936</v>
      </c>
      <c r="M10" s="2" t="s">
        <v>937</v>
      </c>
      <c r="N10" s="2" t="s">
        <v>938</v>
      </c>
      <c r="O10" s="2" t="s">
        <v>939</v>
      </c>
      <c r="P10" s="2" t="s">
        <v>418</v>
      </c>
      <c r="Q10" s="2"/>
      <c r="R10" s="2"/>
      <c r="S10" s="2"/>
      <c r="T10" s="2"/>
      <c r="U10" s="2"/>
      <c r="V10" s="2"/>
    </row>
    <row r="11" spans="1:22">
      <c r="A11" s="2"/>
      <c r="B11" s="2" t="str">
        <f t="shared" si="0"/>
        <v>CIMComp_+WorkflowTemplateNotificationType_obj_name</v>
      </c>
      <c r="C11" s="312" t="s">
        <v>940</v>
      </c>
      <c r="D11" s="96" t="s">
        <v>920</v>
      </c>
      <c r="E11" s="2" t="s">
        <v>921</v>
      </c>
      <c r="F11" s="2"/>
      <c r="G11" s="2"/>
      <c r="H11" s="2"/>
      <c r="I11" s="2" t="b">
        <v>0</v>
      </c>
      <c r="J11" s="2"/>
      <c r="K11" s="2"/>
      <c r="L11" s="2"/>
      <c r="M11" s="2"/>
      <c r="N11" s="2"/>
      <c r="O11" s="2"/>
      <c r="P11" s="2" t="s">
        <v>418</v>
      </c>
      <c r="Q11" s="2"/>
      <c r="R11" s="2"/>
      <c r="S11" s="2"/>
      <c r="T11" s="2"/>
      <c r="U11" s="2"/>
      <c r="V11" s="2"/>
    </row>
    <row r="12" spans="1:22">
      <c r="A12" s="2"/>
      <c r="B12" s="2" t="str">
        <f t="shared" si="0"/>
        <v>CIMComp_-WorkflowConditionCompositions_obj_name</v>
      </c>
      <c r="C12" s="312" t="s">
        <v>941</v>
      </c>
      <c r="D12" s="96" t="s">
        <v>923</v>
      </c>
      <c r="E12" s="2" t="s">
        <v>921</v>
      </c>
      <c r="F12" s="2"/>
      <c r="G12" s="2"/>
      <c r="H12" s="2"/>
      <c r="I12" s="2" t="b">
        <v>0</v>
      </c>
      <c r="J12" s="2"/>
      <c r="K12" s="2"/>
      <c r="L12" s="2"/>
      <c r="M12" s="2"/>
      <c r="N12" s="2"/>
      <c r="O12" s="2"/>
      <c r="P12" s="2" t="s">
        <v>418</v>
      </c>
      <c r="Q12" s="2"/>
      <c r="R12" s="2"/>
      <c r="S12" s="2"/>
      <c r="T12" s="2"/>
      <c r="U12" s="2"/>
      <c r="V12" s="2"/>
    </row>
    <row r="13" spans="1:22">
      <c r="A13" s="2"/>
      <c r="B13" s="2" t="str">
        <f t="shared" si="0"/>
        <v>CIMComp_WorkflowStepStartDate</v>
      </c>
      <c r="C13" s="95" t="s">
        <v>295</v>
      </c>
      <c r="D13" s="96" t="s">
        <v>942</v>
      </c>
      <c r="E13" s="101" t="s">
        <v>943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 t="s">
        <v>418</v>
      </c>
      <c r="Q13" s="2"/>
      <c r="R13" s="2"/>
      <c r="S13" s="2"/>
      <c r="T13" s="2"/>
      <c r="U13" s="2"/>
      <c r="V13" s="2"/>
    </row>
    <row r="14" spans="1:22">
      <c r="A14" s="2"/>
      <c r="B14" s="2" t="str">
        <f t="shared" si="0"/>
        <v>CIMComp_WorkflowStepEndDate</v>
      </c>
      <c r="C14" s="95" t="s">
        <v>302</v>
      </c>
      <c r="D14" s="96" t="s">
        <v>944</v>
      </c>
      <c r="E14" s="101" t="s">
        <v>943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 t="s">
        <v>418</v>
      </c>
      <c r="Q14" s="2"/>
      <c r="R14" s="2"/>
      <c r="S14" s="2"/>
      <c r="T14" s="2"/>
      <c r="U14" s="2"/>
      <c r="V14" s="2"/>
    </row>
    <row r="15" spans="1:22">
      <c r="A15" s="2"/>
      <c r="B15" s="2" t="str">
        <f t="shared" si="0"/>
        <v>CIMComp_FrontStepId</v>
      </c>
      <c r="C15" s="95" t="s">
        <v>403</v>
      </c>
      <c r="D15" s="96" t="s">
        <v>621</v>
      </c>
      <c r="E15" s="101" t="s">
        <v>945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 t="s">
        <v>418</v>
      </c>
      <c r="Q15" s="2"/>
      <c r="R15" s="2"/>
      <c r="S15" s="2"/>
      <c r="T15" s="2"/>
      <c r="U15" s="2"/>
      <c r="V15" s="2"/>
    </row>
    <row r="16" spans="1:22">
      <c r="A16" s="2"/>
      <c r="B16" s="2" t="str">
        <f t="shared" si="0"/>
        <v>CIMComp_WorkflowStepDuration</v>
      </c>
      <c r="C16" s="95" t="s">
        <v>304</v>
      </c>
      <c r="D16" s="96" t="s">
        <v>946</v>
      </c>
      <c r="E16" s="101" t="s">
        <v>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 t="s">
        <v>418</v>
      </c>
      <c r="Q16" s="2"/>
      <c r="R16" s="2"/>
      <c r="S16" s="2"/>
      <c r="T16" s="2"/>
      <c r="U16" s="2"/>
      <c r="V16" s="2"/>
    </row>
    <row r="17" spans="1:22">
      <c r="A17" s="2"/>
      <c r="B17" s="2" t="str">
        <f t="shared" si="0"/>
        <v>CIMComp_WorkflowStepWarningTime</v>
      </c>
      <c r="C17" s="97" t="s">
        <v>298</v>
      </c>
      <c r="D17" s="97" t="s">
        <v>297</v>
      </c>
      <c r="E17" s="101" t="s">
        <v>925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 t="s">
        <v>418</v>
      </c>
      <c r="Q17" s="2"/>
      <c r="R17" s="2"/>
      <c r="S17" s="2"/>
      <c r="T17" s="2"/>
      <c r="U17" s="2"/>
      <c r="V17" s="2"/>
    </row>
    <row r="18" spans="1:22">
      <c r="A18" s="2"/>
      <c r="B18" s="2" t="str">
        <f t="shared" si="0"/>
        <v>CIMComp_WorkflowStepPrincipalPrescription</v>
      </c>
      <c r="C18" s="97" t="s">
        <v>300</v>
      </c>
      <c r="D18" s="97" t="s">
        <v>299</v>
      </c>
      <c r="E18" s="101" t="s">
        <v>925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 t="s">
        <v>418</v>
      </c>
      <c r="Q18" s="2"/>
      <c r="R18" s="2"/>
      <c r="S18" s="2"/>
      <c r="T18" s="2"/>
      <c r="U18" s="2"/>
      <c r="V18" s="2"/>
    </row>
    <row r="19" spans="1:22">
      <c r="A19" s="2"/>
      <c r="B19" s="2" t="str">
        <f t="shared" si="0"/>
        <v>CIMComp_WorkflowStepStatus</v>
      </c>
      <c r="C19" s="95" t="s">
        <v>497</v>
      </c>
      <c r="D19" s="96" t="s">
        <v>947</v>
      </c>
      <c r="E19" s="101" t="s">
        <v>921</v>
      </c>
      <c r="F19" s="2"/>
      <c r="G19" s="2"/>
      <c r="H19" s="2"/>
      <c r="I19" s="2" t="b">
        <v>0</v>
      </c>
      <c r="J19" s="2"/>
      <c r="K19" s="2"/>
      <c r="L19" s="2"/>
      <c r="M19" s="2"/>
      <c r="N19" s="2"/>
      <c r="O19" s="2"/>
      <c r="P19" s="2" t="s">
        <v>418</v>
      </c>
      <c r="Q19" s="2"/>
      <c r="R19" s="2"/>
      <c r="S19" s="2"/>
      <c r="T19" s="2"/>
      <c r="U19" s="2"/>
      <c r="V19" s="2"/>
    </row>
    <row r="20" spans="1:22">
      <c r="A20" s="2"/>
      <c r="B20" s="2" t="str">
        <f t="shared" si="0"/>
        <v>CIMComp_-WorkflowSteps_obj_name</v>
      </c>
      <c r="C20" s="312" t="s">
        <v>948</v>
      </c>
      <c r="D20" s="98" t="s">
        <v>949</v>
      </c>
      <c r="E20" s="101" t="s">
        <v>945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 t="s">
        <v>418</v>
      </c>
      <c r="Q20" s="2"/>
      <c r="R20" s="2"/>
      <c r="S20" s="2"/>
      <c r="T20" s="2"/>
      <c r="U20" s="2"/>
      <c r="V20" s="2"/>
    </row>
    <row r="21" spans="1:22">
      <c r="A21" s="2"/>
      <c r="B21" s="2" t="str">
        <f t="shared" si="0"/>
        <v>CIMComp_WorkflowImportance</v>
      </c>
      <c r="C21" s="95" t="s">
        <v>389</v>
      </c>
      <c r="D21" s="98" t="s">
        <v>950</v>
      </c>
      <c r="E21" s="101" t="s">
        <v>921</v>
      </c>
      <c r="F21" s="2"/>
      <c r="G21" s="2"/>
      <c r="H21" s="2" t="s">
        <v>573</v>
      </c>
      <c r="I21" s="2" t="b">
        <v>0</v>
      </c>
      <c r="J21" s="2"/>
      <c r="K21" s="2"/>
      <c r="L21" s="2"/>
      <c r="M21" s="2"/>
      <c r="N21" s="2"/>
      <c r="O21" s="2"/>
      <c r="P21" s="2" t="s">
        <v>418</v>
      </c>
      <c r="Q21" s="2"/>
      <c r="R21" s="2"/>
      <c r="S21" s="2"/>
      <c r="T21" s="2"/>
      <c r="U21" s="2"/>
      <c r="V21" s="2"/>
    </row>
    <row r="22" spans="1:22">
      <c r="A22" s="2"/>
      <c r="B22" s="2" t="str">
        <f t="shared" si="0"/>
        <v>CIMComp_+WorkflowStepEarlyWarningMode</v>
      </c>
      <c r="C22" s="313" t="s">
        <v>951</v>
      </c>
      <c r="D22" s="98" t="s">
        <v>952</v>
      </c>
      <c r="E22" s="101" t="s">
        <v>921</v>
      </c>
      <c r="F22" s="2"/>
      <c r="G22" s="2"/>
      <c r="H22" s="2"/>
      <c r="I22" s="2" t="b">
        <v>0</v>
      </c>
      <c r="J22" s="2"/>
      <c r="K22" s="2"/>
      <c r="L22" s="2"/>
      <c r="M22" s="2"/>
      <c r="N22" s="2"/>
      <c r="O22" s="2"/>
      <c r="P22" s="2" t="s">
        <v>418</v>
      </c>
      <c r="Q22" s="2"/>
      <c r="R22" s="2"/>
      <c r="S22" s="2"/>
      <c r="T22" s="2"/>
      <c r="U22" s="2"/>
      <c r="V22" s="2"/>
    </row>
    <row r="23" spans="1:22">
      <c r="A23" s="2"/>
      <c r="B23" s="2" t="str">
        <f t="shared" si="0"/>
        <v>CIMComp_+WorkflowStepOvertimePrincipal</v>
      </c>
      <c r="C23" s="314" t="s">
        <v>953</v>
      </c>
      <c r="D23" s="98" t="s">
        <v>954</v>
      </c>
      <c r="E23" s="101" t="s">
        <v>921</v>
      </c>
      <c r="F23" s="2"/>
      <c r="G23" s="2"/>
      <c r="H23" s="2"/>
      <c r="I23" s="2" t="b">
        <v>0</v>
      </c>
      <c r="J23" s="2"/>
      <c r="K23" s="2"/>
      <c r="L23" s="2"/>
      <c r="M23" s="2"/>
      <c r="N23" s="2"/>
      <c r="O23" s="2"/>
      <c r="P23" s="2" t="s">
        <v>418</v>
      </c>
      <c r="Q23" s="2"/>
      <c r="R23" s="2"/>
      <c r="S23" s="2"/>
      <c r="T23" s="2"/>
      <c r="U23" s="2"/>
      <c r="V23" s="2"/>
    </row>
    <row r="24" spans="1:22">
      <c r="A24" s="2"/>
      <c r="B24" s="2" t="str">
        <f t="shared" si="0"/>
        <v>CIMComp_+WorkflowCategory</v>
      </c>
      <c r="C24" s="314" t="s">
        <v>955</v>
      </c>
      <c r="D24" s="100" t="s">
        <v>407</v>
      </c>
      <c r="E24" s="101" t="s">
        <v>956</v>
      </c>
      <c r="F24" s="2"/>
      <c r="G24" s="2"/>
      <c r="H24" s="2"/>
      <c r="I24" s="2" t="b">
        <v>0</v>
      </c>
      <c r="J24" s="2"/>
      <c r="K24" s="2"/>
      <c r="L24" s="2"/>
      <c r="M24" s="2"/>
      <c r="N24" s="2"/>
      <c r="O24" s="2"/>
      <c r="P24" s="2" t="s">
        <v>418</v>
      </c>
      <c r="Q24" s="2"/>
      <c r="R24" s="2"/>
      <c r="S24" s="2"/>
      <c r="T24" s="2"/>
      <c r="U24" s="2"/>
      <c r="V24" s="2"/>
    </row>
    <row r="25" spans="1:22">
      <c r="A25" s="2"/>
      <c r="B25" s="2" t="str">
        <f t="shared" si="0"/>
        <v>CIMComp_+WorkflowCategory_obj_name</v>
      </c>
      <c r="C25" s="314" t="s">
        <v>957</v>
      </c>
      <c r="D25" s="100" t="s">
        <v>407</v>
      </c>
      <c r="E25" s="101" t="s">
        <v>945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 t="s">
        <v>418</v>
      </c>
      <c r="Q25" s="2"/>
      <c r="R25" s="2"/>
      <c r="S25" s="2"/>
      <c r="T25" s="2"/>
      <c r="U25" s="2"/>
      <c r="V25" s="2"/>
    </row>
    <row r="26" spans="1:22">
      <c r="A26" s="2"/>
      <c r="B26" s="2" t="str">
        <f t="shared" si="0"/>
        <v>CIMComp_WorkflowStepOperationMode</v>
      </c>
      <c r="C26" s="99" t="s">
        <v>525</v>
      </c>
      <c r="D26" s="100" t="s">
        <v>590</v>
      </c>
      <c r="E26" s="101" t="s">
        <v>921</v>
      </c>
      <c r="F26" s="2"/>
      <c r="G26" s="2"/>
      <c r="H26" s="2"/>
      <c r="I26" s="2" t="b">
        <v>0</v>
      </c>
      <c r="J26" s="2"/>
      <c r="K26" s="2"/>
      <c r="L26" s="2"/>
      <c r="M26" s="2"/>
      <c r="N26" s="2"/>
      <c r="O26" s="2"/>
      <c r="P26" s="2" t="s">
        <v>418</v>
      </c>
      <c r="Q26" s="2"/>
      <c r="R26" s="2"/>
      <c r="S26" s="2"/>
      <c r="T26" s="2"/>
      <c r="U26" s="2"/>
      <c r="V26" s="2"/>
    </row>
    <row r="27" spans="1:22">
      <c r="A27" s="2"/>
      <c r="B27" s="2" t="str">
        <f t="shared" si="0"/>
        <v>CIMComp_WorkflowStepComments</v>
      </c>
      <c r="C27" s="99" t="s">
        <v>626</v>
      </c>
      <c r="D27" s="100" t="s">
        <v>627</v>
      </c>
      <c r="E27" s="102" t="s">
        <v>958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101" t="s">
        <v>418</v>
      </c>
      <c r="Q27" s="2"/>
      <c r="R27" s="2"/>
      <c r="S27" s="2"/>
      <c r="T27" s="2"/>
      <c r="U27" s="2"/>
      <c r="V27" s="2"/>
    </row>
    <row r="28" spans="1:22">
      <c r="A28" s="2"/>
      <c r="B28" s="2" t="str">
        <f t="shared" si="0"/>
        <v>CIMComp_WorkflowStatus</v>
      </c>
      <c r="C28" s="99" t="s">
        <v>467</v>
      </c>
      <c r="D28" s="100" t="s">
        <v>602</v>
      </c>
      <c r="E28" s="102" t="s">
        <v>921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101"/>
      <c r="Q28" s="2"/>
      <c r="R28" s="2"/>
      <c r="S28" s="2"/>
      <c r="T28" s="2"/>
      <c r="U28" s="2"/>
      <c r="V28" s="2"/>
    </row>
    <row r="29" spans="1:22">
      <c r="A29" s="2"/>
      <c r="B29" s="2" t="str">
        <f t="shared" ref="B29:B37" si="1">"CIMComp_"&amp;C29</f>
        <v>CIMComp_WorkflowMessage</v>
      </c>
      <c r="C29" s="99" t="s">
        <v>610</v>
      </c>
      <c r="D29" s="100" t="s">
        <v>611</v>
      </c>
      <c r="E29" s="102" t="s">
        <v>945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101"/>
      <c r="Q29" s="2"/>
      <c r="R29" s="2"/>
      <c r="S29" s="2"/>
      <c r="T29" s="2"/>
      <c r="U29" s="2"/>
      <c r="V29" s="2"/>
    </row>
    <row r="30" spans="1:22">
      <c r="A30" s="2"/>
      <c r="B30" s="2" t="str">
        <f t="shared" si="1"/>
        <v>CIMComp_WorkflowRemark</v>
      </c>
      <c r="C30" s="99" t="s">
        <v>612</v>
      </c>
      <c r="D30" s="100" t="s">
        <v>613</v>
      </c>
      <c r="E30" s="102" t="s">
        <v>945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101"/>
      <c r="Q30" s="2"/>
      <c r="R30" s="2"/>
      <c r="S30" s="2"/>
      <c r="T30" s="2"/>
      <c r="U30" s="2"/>
      <c r="V30" s="2"/>
    </row>
    <row r="31" spans="1:22">
      <c r="A31" s="2"/>
      <c r="B31" s="2" t="str">
        <f t="shared" si="1"/>
        <v>CIMComp_WorkflowErrorMsg</v>
      </c>
      <c r="C31" s="99" t="s">
        <v>614</v>
      </c>
      <c r="D31" s="100" t="s">
        <v>615</v>
      </c>
      <c r="E31" s="102" t="s">
        <v>945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101"/>
      <c r="Q31" s="2"/>
      <c r="R31" s="2"/>
      <c r="S31" s="2"/>
      <c r="T31" s="2"/>
      <c r="U31" s="2"/>
      <c r="V31" s="2"/>
    </row>
    <row r="32" spans="1:22">
      <c r="A32" s="2"/>
      <c r="B32" s="2" t="str">
        <f t="shared" si="1"/>
        <v>CIMComp_WorkflowDetailStatus</v>
      </c>
      <c r="C32" s="99" t="s">
        <v>616</v>
      </c>
      <c r="D32" s="100" t="s">
        <v>617</v>
      </c>
      <c r="E32" s="102" t="s">
        <v>945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101"/>
      <c r="Q32" s="2"/>
      <c r="R32" s="2"/>
      <c r="S32" s="2"/>
      <c r="T32" s="2"/>
      <c r="U32" s="2"/>
      <c r="V32" s="2"/>
    </row>
    <row r="33" spans="1:22">
      <c r="A33" s="2"/>
      <c r="B33" s="2" t="str">
        <f t="shared" si="1"/>
        <v>CIMComp_WorkflowOnHoldInd</v>
      </c>
      <c r="C33" s="99" t="s">
        <v>635</v>
      </c>
      <c r="D33" s="100" t="s">
        <v>636</v>
      </c>
      <c r="E33" s="102" t="s">
        <v>945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101"/>
      <c r="Q33" s="2"/>
      <c r="R33" s="2"/>
      <c r="S33" s="2"/>
      <c r="T33" s="2"/>
      <c r="U33" s="2"/>
      <c r="V33" s="2"/>
    </row>
    <row r="34" spans="1:22">
      <c r="A34" s="2"/>
      <c r="B34" s="2" t="str">
        <f t="shared" si="1"/>
        <v>CIMComp_WorkflowRev</v>
      </c>
      <c r="C34" s="99" t="s">
        <v>637</v>
      </c>
      <c r="D34" s="100" t="s">
        <v>638</v>
      </c>
      <c r="E34" s="102" t="s">
        <v>945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101"/>
      <c r="Q34" s="2"/>
      <c r="R34" s="2"/>
      <c r="S34" s="2"/>
      <c r="T34" s="2"/>
      <c r="U34" s="2"/>
      <c r="V34" s="2"/>
    </row>
    <row r="35" spans="1:22">
      <c r="A35" s="2"/>
      <c r="B35" s="2" t="str">
        <f t="shared" si="1"/>
        <v>CIMComp_WorkflowImportance</v>
      </c>
      <c r="C35" s="99" t="s">
        <v>389</v>
      </c>
      <c r="D35" s="100" t="s">
        <v>388</v>
      </c>
      <c r="E35" s="102" t="s">
        <v>921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101"/>
      <c r="Q35" s="2"/>
      <c r="R35" s="2"/>
      <c r="S35" s="2"/>
      <c r="T35" s="2"/>
      <c r="U35" s="2"/>
      <c r="V35" s="2"/>
    </row>
    <row r="36" spans="1:22">
      <c r="A36" s="2"/>
      <c r="B36" s="2" t="str">
        <f t="shared" si="1"/>
        <v>CIMComp_WorkflowPercentage</v>
      </c>
      <c r="C36" s="99" t="s">
        <v>643</v>
      </c>
      <c r="D36" s="100" t="s">
        <v>644</v>
      </c>
      <c r="E36" s="102" t="s">
        <v>925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101"/>
      <c r="Q36" s="2"/>
      <c r="R36" s="2"/>
      <c r="S36" s="2"/>
      <c r="T36" s="2"/>
      <c r="U36" s="2"/>
      <c r="V36" s="2"/>
    </row>
    <row r="37" spans="1:22">
      <c r="A37" s="2"/>
      <c r="B37" s="2" t="str">
        <f t="shared" si="1"/>
        <v>CIMComp_WorkflowPartGroupInd</v>
      </c>
      <c r="C37" s="99" t="s">
        <v>657</v>
      </c>
      <c r="D37" s="100" t="s">
        <v>658</v>
      </c>
      <c r="E37" s="102" t="s">
        <v>945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101"/>
      <c r="Q37" s="2"/>
      <c r="R37" s="2"/>
      <c r="S37" s="2"/>
      <c r="T37" s="2"/>
      <c r="U37" s="2"/>
      <c r="V37" s="2"/>
    </row>
    <row r="38" spans="1:22">
      <c r="A38" s="2"/>
      <c r="B38" s="2"/>
      <c r="C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>
      <c r="A39" s="93" t="s">
        <v>24</v>
      </c>
      <c r="B39" s="93" t="s">
        <v>43</v>
      </c>
      <c r="C39" s="94" t="s">
        <v>81</v>
      </c>
      <c r="D39" s="94" t="s">
        <v>76</v>
      </c>
      <c r="E39" s="94" t="s">
        <v>79</v>
      </c>
      <c r="F39" s="94" t="s">
        <v>83</v>
      </c>
      <c r="G39" s="94" t="s">
        <v>82</v>
      </c>
      <c r="H39" s="94" t="s">
        <v>78</v>
      </c>
      <c r="I39" s="94" t="s">
        <v>80</v>
      </c>
      <c r="J39" s="94" t="s">
        <v>84</v>
      </c>
      <c r="K39" s="108" t="s">
        <v>85</v>
      </c>
      <c r="L39" s="108" t="s">
        <v>132</v>
      </c>
      <c r="M39" s="94" t="s">
        <v>130</v>
      </c>
      <c r="N39" s="94" t="s">
        <v>133</v>
      </c>
      <c r="O39" s="94" t="s">
        <v>136</v>
      </c>
      <c r="P39" s="94" t="s">
        <v>137</v>
      </c>
      <c r="Q39" s="94" t="s">
        <v>138</v>
      </c>
      <c r="R39" s="94" t="s">
        <v>141</v>
      </c>
      <c r="S39" s="114" t="s">
        <v>280</v>
      </c>
      <c r="T39" s="114" t="s">
        <v>290</v>
      </c>
      <c r="U39" s="114" t="s">
        <v>400</v>
      </c>
      <c r="V39" s="93" t="s">
        <v>48</v>
      </c>
    </row>
    <row r="40" spans="1:22">
      <c r="A40" s="2"/>
      <c r="B40" s="105" t="str">
        <f t="shared" ref="B40:B79" si="2">F40&amp;"."&amp;C40&amp;"."&amp;G40</f>
        <v>UISection2Component.CIMSCT_WFTSeciton.CIMComp_+WorkflowTemplateNotificationType</v>
      </c>
      <c r="C40" s="105" t="s">
        <v>900</v>
      </c>
      <c r="D40" s="105" t="s">
        <v>872</v>
      </c>
      <c r="E40" s="105" t="s">
        <v>283</v>
      </c>
      <c r="F40" s="105" t="s">
        <v>129</v>
      </c>
      <c r="G40" s="105" t="s">
        <v>959</v>
      </c>
      <c r="H40" s="315" t="s">
        <v>919</v>
      </c>
      <c r="I40" s="105" t="s">
        <v>116</v>
      </c>
      <c r="J40" s="105">
        <v>10</v>
      </c>
      <c r="K40" s="105" t="b">
        <v>1</v>
      </c>
      <c r="L40" s="105"/>
      <c r="M40" s="105" t="b">
        <v>1</v>
      </c>
      <c r="N40" s="105"/>
      <c r="O40" s="113" t="s">
        <v>960</v>
      </c>
      <c r="P40" s="105"/>
      <c r="Q40" s="113" t="s">
        <v>960</v>
      </c>
      <c r="R40" s="105"/>
      <c r="S40" s="105">
        <v>24</v>
      </c>
      <c r="T40" s="105"/>
      <c r="U40" s="105"/>
      <c r="V40" s="105" t="s">
        <v>418</v>
      </c>
    </row>
    <row r="41" spans="1:22">
      <c r="B41" s="105" t="str">
        <f t="shared" si="2"/>
        <v>UISection2Component.CIMSCT_WFTSeciton.CIMComp_-WorkflowConditionCompositions</v>
      </c>
      <c r="C41" s="105" t="s">
        <v>900</v>
      </c>
      <c r="D41" s="105" t="s">
        <v>872</v>
      </c>
      <c r="E41" s="105" t="s">
        <v>283</v>
      </c>
      <c r="F41" s="105" t="s">
        <v>129</v>
      </c>
      <c r="G41" s="105" t="s">
        <v>961</v>
      </c>
      <c r="H41" s="315" t="s">
        <v>922</v>
      </c>
      <c r="I41" s="105" t="s">
        <v>116</v>
      </c>
      <c r="J41" s="105">
        <v>11</v>
      </c>
      <c r="K41" s="105" t="b">
        <v>1</v>
      </c>
      <c r="L41" s="105"/>
      <c r="M41" s="105" t="b">
        <v>1</v>
      </c>
      <c r="N41" s="105"/>
      <c r="O41" s="113" t="s">
        <v>960</v>
      </c>
      <c r="P41" s="105"/>
      <c r="Q41" s="113" t="s">
        <v>960</v>
      </c>
      <c r="R41" s="105"/>
      <c r="S41" s="105">
        <v>24</v>
      </c>
      <c r="T41" s="105"/>
      <c r="U41" s="105"/>
      <c r="V41" s="105" t="s">
        <v>418</v>
      </c>
    </row>
    <row r="42" spans="1:22">
      <c r="A42" s="82"/>
      <c r="B42" s="105" t="str">
        <f t="shared" si="2"/>
        <v>UISection2Component.CIMSCT_WFTSeciton.CIMComp_+WorkflowCategory</v>
      </c>
      <c r="C42" s="105" t="s">
        <v>900</v>
      </c>
      <c r="D42" s="105" t="s">
        <v>872</v>
      </c>
      <c r="E42" s="105" t="s">
        <v>283</v>
      </c>
      <c r="F42" s="105" t="s">
        <v>129</v>
      </c>
      <c r="G42" s="105" t="s">
        <v>962</v>
      </c>
      <c r="H42" s="315" t="s">
        <v>955</v>
      </c>
      <c r="I42" s="105" t="s">
        <v>116</v>
      </c>
      <c r="J42" s="105">
        <v>12</v>
      </c>
      <c r="K42" s="105" t="b">
        <v>1</v>
      </c>
      <c r="L42" s="105"/>
      <c r="M42" s="105" t="b">
        <v>1</v>
      </c>
      <c r="N42" s="105"/>
      <c r="O42" s="113" t="b">
        <v>1</v>
      </c>
      <c r="P42" s="105"/>
      <c r="Q42" s="113" t="s">
        <v>960</v>
      </c>
      <c r="R42" s="105"/>
      <c r="S42" s="105">
        <v>24</v>
      </c>
      <c r="T42" s="105"/>
      <c r="U42" s="105"/>
      <c r="V42" s="105" t="s">
        <v>418</v>
      </c>
    </row>
    <row r="43" spans="1:22">
      <c r="B43" s="105" t="str">
        <f t="shared" si="2"/>
        <v>UISection2Component.CIMSCT_WFTSeciton.CIMComp_WorkflowImportance</v>
      </c>
      <c r="C43" s="105" t="s">
        <v>900</v>
      </c>
      <c r="D43" s="105" t="s">
        <v>872</v>
      </c>
      <c r="E43" s="105" t="s">
        <v>283</v>
      </c>
      <c r="F43" s="105" t="s">
        <v>129</v>
      </c>
      <c r="G43" s="105" t="s">
        <v>963</v>
      </c>
      <c r="H43" s="105" t="s">
        <v>389</v>
      </c>
      <c r="I43" s="105" t="s">
        <v>116</v>
      </c>
      <c r="J43" s="105">
        <v>13</v>
      </c>
      <c r="K43" s="105" t="b">
        <v>1</v>
      </c>
      <c r="L43" s="105"/>
      <c r="M43" s="105" t="b">
        <v>1</v>
      </c>
      <c r="N43" s="105"/>
      <c r="O43" s="113" t="b">
        <v>1</v>
      </c>
      <c r="P43" s="105"/>
      <c r="Q43" s="113" t="s">
        <v>960</v>
      </c>
      <c r="R43" s="105"/>
      <c r="S43" s="105">
        <v>24</v>
      </c>
      <c r="T43" s="105"/>
      <c r="U43" s="105"/>
      <c r="V43" s="105" t="s">
        <v>418</v>
      </c>
    </row>
    <row r="44" spans="1:22">
      <c r="B44" s="106" t="str">
        <f t="shared" si="2"/>
        <v>UISection2Component.CIMSCT_WFTSeciton_List.CIMComp_+WorkflowTemplateNotificationType_obj_name</v>
      </c>
      <c r="C44" s="106" t="s">
        <v>905</v>
      </c>
      <c r="D44" s="106" t="s">
        <v>875</v>
      </c>
      <c r="E44" s="106" t="s">
        <v>283</v>
      </c>
      <c r="F44" s="106" t="s">
        <v>129</v>
      </c>
      <c r="G44" s="106" t="s">
        <v>964</v>
      </c>
      <c r="H44" s="316" t="s">
        <v>940</v>
      </c>
      <c r="I44" s="106" t="s">
        <v>116</v>
      </c>
      <c r="J44" s="106">
        <v>10</v>
      </c>
      <c r="K44" s="106" t="b">
        <v>1</v>
      </c>
      <c r="L44" s="106"/>
      <c r="M44" s="106" t="b">
        <v>1</v>
      </c>
      <c r="N44" s="106"/>
      <c r="O44" s="106" t="b">
        <v>1</v>
      </c>
      <c r="P44" s="106"/>
      <c r="Q44" s="115" t="s">
        <v>960</v>
      </c>
      <c r="R44" s="106"/>
      <c r="S44" s="106">
        <v>24</v>
      </c>
      <c r="T44" s="106"/>
      <c r="U44" s="106"/>
      <c r="V44" s="106" t="s">
        <v>418</v>
      </c>
    </row>
    <row r="45" spans="1:22">
      <c r="B45" s="106" t="str">
        <f t="shared" si="2"/>
        <v>UISection2Component.CIMSCT_WFTSeciton_List.CIMComp_-WorkflowConditionCompositions_obj_name</v>
      </c>
      <c r="C45" s="106" t="s">
        <v>905</v>
      </c>
      <c r="D45" s="106" t="s">
        <v>875</v>
      </c>
      <c r="E45" s="106" t="s">
        <v>283</v>
      </c>
      <c r="F45" s="106" t="s">
        <v>129</v>
      </c>
      <c r="G45" s="106" t="s">
        <v>965</v>
      </c>
      <c r="H45" s="316" t="s">
        <v>941</v>
      </c>
      <c r="I45" s="106" t="s">
        <v>116</v>
      </c>
      <c r="J45" s="106">
        <v>11</v>
      </c>
      <c r="K45" s="106" t="b">
        <v>1</v>
      </c>
      <c r="L45" s="106"/>
      <c r="M45" s="106" t="b">
        <v>1</v>
      </c>
      <c r="N45" s="106"/>
      <c r="O45" s="106" t="b">
        <v>1</v>
      </c>
      <c r="P45" s="106"/>
      <c r="Q45" s="115" t="s">
        <v>960</v>
      </c>
      <c r="R45" s="106"/>
      <c r="S45" s="106">
        <v>24</v>
      </c>
      <c r="T45" s="106"/>
      <c r="U45" s="106"/>
      <c r="V45" s="106" t="s">
        <v>418</v>
      </c>
    </row>
    <row r="46" spans="1:22">
      <c r="B46" s="106" t="str">
        <f t="shared" si="2"/>
        <v>UISection2Component.CIMSCT_WFTSeciton_List.CIMComp_+WorkflowCategory_obj_name</v>
      </c>
      <c r="C46" s="106" t="s">
        <v>905</v>
      </c>
      <c r="D46" s="106" t="s">
        <v>875</v>
      </c>
      <c r="E46" s="106" t="s">
        <v>283</v>
      </c>
      <c r="F46" s="106" t="s">
        <v>129</v>
      </c>
      <c r="G46" s="106" t="s">
        <v>966</v>
      </c>
      <c r="H46" s="316" t="s">
        <v>957</v>
      </c>
      <c r="I46" s="106" t="s">
        <v>116</v>
      </c>
      <c r="J46" s="106">
        <v>12</v>
      </c>
      <c r="K46" s="106" t="b">
        <v>1</v>
      </c>
      <c r="L46" s="106"/>
      <c r="M46" s="106" t="b">
        <v>1</v>
      </c>
      <c r="N46" s="106"/>
      <c r="O46" s="106" t="b">
        <v>1</v>
      </c>
      <c r="P46" s="106"/>
      <c r="Q46" s="115" t="s">
        <v>960</v>
      </c>
      <c r="R46" s="106"/>
      <c r="S46" s="106">
        <v>24</v>
      </c>
      <c r="T46" s="106"/>
      <c r="U46" s="106"/>
      <c r="V46" s="106" t="s">
        <v>418</v>
      </c>
    </row>
    <row r="47" spans="1:22">
      <c r="B47" s="106" t="str">
        <f t="shared" si="2"/>
        <v>UISection2Component.CIMSCT_WFTSeciton_List.CIMComp_WorkflowImportance</v>
      </c>
      <c r="C47" s="106" t="s">
        <v>905</v>
      </c>
      <c r="D47" s="106" t="s">
        <v>875</v>
      </c>
      <c r="E47" s="106" t="s">
        <v>283</v>
      </c>
      <c r="F47" s="106" t="s">
        <v>129</v>
      </c>
      <c r="G47" s="106" t="s">
        <v>963</v>
      </c>
      <c r="H47" s="106" t="s">
        <v>389</v>
      </c>
      <c r="I47" s="106" t="s">
        <v>116</v>
      </c>
      <c r="J47" s="106">
        <v>13</v>
      </c>
      <c r="K47" s="106" t="b">
        <v>1</v>
      </c>
      <c r="L47" s="106"/>
      <c r="M47" s="106" t="b">
        <v>1</v>
      </c>
      <c r="N47" s="106"/>
      <c r="O47" s="106" t="b">
        <v>1</v>
      </c>
      <c r="P47" s="106"/>
      <c r="Q47" s="115" t="s">
        <v>960</v>
      </c>
      <c r="R47" s="106"/>
      <c r="S47" s="106">
        <v>24</v>
      </c>
      <c r="T47" s="106"/>
      <c r="U47" s="106"/>
      <c r="V47" s="106" t="s">
        <v>418</v>
      </c>
    </row>
    <row r="48" spans="1:22">
      <c r="B48" s="107" t="str">
        <f t="shared" si="2"/>
        <v>UISection2Component.CIMSCT_WFSSeciton_List.CIMComp_name</v>
      </c>
      <c r="C48" s="107" t="s">
        <v>906</v>
      </c>
      <c r="D48" s="107" t="s">
        <v>877</v>
      </c>
      <c r="E48" s="107" t="s">
        <v>283</v>
      </c>
      <c r="F48" s="107" t="s">
        <v>129</v>
      </c>
      <c r="G48" s="107" t="s">
        <v>967</v>
      </c>
      <c r="H48" s="107" t="s">
        <v>46</v>
      </c>
      <c r="I48" s="107" t="s">
        <v>116</v>
      </c>
      <c r="J48" s="107">
        <v>10</v>
      </c>
      <c r="K48" s="107" t="b">
        <v>1</v>
      </c>
      <c r="L48" s="109" t="s">
        <v>968</v>
      </c>
      <c r="M48" s="107" t="b">
        <v>1</v>
      </c>
      <c r="N48" s="107"/>
      <c r="O48" s="107" t="b">
        <v>1</v>
      </c>
      <c r="P48" s="107"/>
      <c r="Q48" s="116" t="b">
        <v>1</v>
      </c>
      <c r="R48" s="107"/>
      <c r="S48" s="107">
        <v>24</v>
      </c>
      <c r="T48" s="107"/>
      <c r="U48" s="107"/>
      <c r="V48" s="107" t="s">
        <v>418</v>
      </c>
    </row>
    <row r="49" spans="2:22">
      <c r="B49" s="107" t="str">
        <f t="shared" si="2"/>
        <v>UISection2Component.CIMSCT_WFSSeciton_List.CIMComp_description</v>
      </c>
      <c r="C49" s="107" t="s">
        <v>906</v>
      </c>
      <c r="D49" s="107" t="s">
        <v>877</v>
      </c>
      <c r="E49" s="107" t="s">
        <v>283</v>
      </c>
      <c r="F49" s="107" t="s">
        <v>129</v>
      </c>
      <c r="G49" s="107" t="s">
        <v>969</v>
      </c>
      <c r="H49" s="107" t="s">
        <v>50</v>
      </c>
      <c r="I49" s="107" t="s">
        <v>116</v>
      </c>
      <c r="J49" s="107">
        <v>11</v>
      </c>
      <c r="K49" s="107" t="b">
        <v>1</v>
      </c>
      <c r="L49" s="109" t="s">
        <v>970</v>
      </c>
      <c r="M49" s="107" t="b">
        <v>1</v>
      </c>
      <c r="N49" s="107"/>
      <c r="O49" s="107" t="b">
        <v>1</v>
      </c>
      <c r="P49" s="107"/>
      <c r="Q49" s="116" t="b">
        <v>1</v>
      </c>
      <c r="R49" s="107"/>
      <c r="S49" s="107">
        <v>24</v>
      </c>
      <c r="T49" s="107"/>
      <c r="U49" s="107"/>
      <c r="V49" s="107" t="s">
        <v>418</v>
      </c>
    </row>
    <row r="50" spans="2:22">
      <c r="B50" s="107" t="str">
        <f t="shared" si="2"/>
        <v>UISection2Component.CIMSCT_WFSSeciton_List.CIMComp_-WorkflowSteps_obj_name</v>
      </c>
      <c r="C50" s="107" t="s">
        <v>906</v>
      </c>
      <c r="D50" s="107" t="s">
        <v>877</v>
      </c>
      <c r="E50" s="107" t="s">
        <v>283</v>
      </c>
      <c r="F50" s="107" t="s">
        <v>129</v>
      </c>
      <c r="G50" s="107" t="s">
        <v>971</v>
      </c>
      <c r="H50" s="317" t="s">
        <v>948</v>
      </c>
      <c r="I50" s="107" t="s">
        <v>116</v>
      </c>
      <c r="J50" s="107">
        <v>17</v>
      </c>
      <c r="K50" s="107" t="b">
        <v>1</v>
      </c>
      <c r="L50" s="110" t="s">
        <v>972</v>
      </c>
      <c r="M50" s="107" t="b">
        <v>1</v>
      </c>
      <c r="N50" s="107"/>
      <c r="O50" s="107" t="b">
        <v>1</v>
      </c>
      <c r="P50" s="107"/>
      <c r="Q50" s="116" t="b">
        <v>1</v>
      </c>
      <c r="R50" s="107"/>
      <c r="S50" s="107">
        <v>24</v>
      </c>
      <c r="T50" s="107"/>
      <c r="U50" s="107"/>
      <c r="V50" s="107" t="s">
        <v>418</v>
      </c>
    </row>
    <row r="51" spans="2:22">
      <c r="B51" s="107" t="str">
        <f t="shared" si="2"/>
        <v>UISection2Component.CIMSCT_WFSSeciton_List.CIMComp_WorkflowStepStatus</v>
      </c>
      <c r="C51" s="107" t="s">
        <v>906</v>
      </c>
      <c r="D51" s="107" t="s">
        <v>877</v>
      </c>
      <c r="E51" s="107" t="s">
        <v>283</v>
      </c>
      <c r="F51" s="107" t="s">
        <v>129</v>
      </c>
      <c r="G51" s="107" t="s">
        <v>973</v>
      </c>
      <c r="H51" s="107" t="s">
        <v>497</v>
      </c>
      <c r="I51" s="107" t="s">
        <v>116</v>
      </c>
      <c r="J51" s="107">
        <v>12</v>
      </c>
      <c r="K51" s="107" t="b">
        <v>1</v>
      </c>
      <c r="L51" s="110" t="s">
        <v>602</v>
      </c>
      <c r="M51" s="107" t="b">
        <v>1</v>
      </c>
      <c r="N51" s="107"/>
      <c r="O51" s="107" t="b">
        <v>1</v>
      </c>
      <c r="P51" s="107"/>
      <c r="Q51" s="116" t="b">
        <v>1</v>
      </c>
      <c r="R51" s="107"/>
      <c r="S51" s="107">
        <v>24</v>
      </c>
      <c r="T51" s="107"/>
      <c r="U51" s="107"/>
      <c r="V51" s="107" t="s">
        <v>418</v>
      </c>
    </row>
    <row r="52" spans="2:22">
      <c r="B52" s="107" t="str">
        <f t="shared" si="2"/>
        <v>UISection2Component.CIMSCT_WFSSeciton_List.CIMComp_WorkflowStepStartDate</v>
      </c>
      <c r="C52" s="107" t="s">
        <v>906</v>
      </c>
      <c r="D52" s="107" t="s">
        <v>877</v>
      </c>
      <c r="E52" s="107" t="s">
        <v>283</v>
      </c>
      <c r="F52" s="107" t="s">
        <v>129</v>
      </c>
      <c r="G52" s="107" t="s">
        <v>974</v>
      </c>
      <c r="H52" s="107" t="s">
        <v>295</v>
      </c>
      <c r="I52" s="107" t="s">
        <v>116</v>
      </c>
      <c r="J52" s="107">
        <v>14</v>
      </c>
      <c r="K52" s="107" t="b">
        <v>1</v>
      </c>
      <c r="L52" s="110" t="s">
        <v>975</v>
      </c>
      <c r="M52" s="107" t="b">
        <v>0</v>
      </c>
      <c r="N52" s="107"/>
      <c r="O52" s="107" t="b">
        <v>1</v>
      </c>
      <c r="P52" s="107"/>
      <c r="Q52" s="116" t="b">
        <v>1</v>
      </c>
      <c r="R52" s="107"/>
      <c r="S52" s="107">
        <v>24</v>
      </c>
      <c r="T52" s="107"/>
      <c r="U52" s="107"/>
      <c r="V52" s="107" t="s">
        <v>418</v>
      </c>
    </row>
    <row r="53" spans="2:22">
      <c r="B53" s="107" t="str">
        <f t="shared" si="2"/>
        <v>UISection2Component.CIMSCT_WFSSeciton_List.CIMComp_WorkflowStepEndDate</v>
      </c>
      <c r="C53" s="107" t="s">
        <v>906</v>
      </c>
      <c r="D53" s="107" t="s">
        <v>877</v>
      </c>
      <c r="E53" s="107" t="s">
        <v>283</v>
      </c>
      <c r="F53" s="107" t="s">
        <v>129</v>
      </c>
      <c r="G53" s="107" t="s">
        <v>976</v>
      </c>
      <c r="H53" s="107" t="s">
        <v>302</v>
      </c>
      <c r="I53" s="107" t="s">
        <v>116</v>
      </c>
      <c r="J53" s="107">
        <v>15</v>
      </c>
      <c r="K53" s="107" t="b">
        <v>1</v>
      </c>
      <c r="L53" s="110" t="s">
        <v>977</v>
      </c>
      <c r="M53" s="107" t="b">
        <v>0</v>
      </c>
      <c r="N53" s="107"/>
      <c r="O53" s="107" t="b">
        <v>1</v>
      </c>
      <c r="P53" s="107"/>
      <c r="Q53" s="116" t="b">
        <v>1</v>
      </c>
      <c r="R53" s="107"/>
      <c r="S53" s="107">
        <v>24</v>
      </c>
      <c r="T53" s="107"/>
      <c r="U53" s="107"/>
      <c r="V53" s="107" t="s">
        <v>418</v>
      </c>
    </row>
    <row r="54" spans="2:22">
      <c r="B54" s="107" t="str">
        <f t="shared" si="2"/>
        <v>UISection2Component.CIMSCT_WFSSeciton_List.CIMComp_WorkflowStepDuration</v>
      </c>
      <c r="C54" s="107" t="s">
        <v>906</v>
      </c>
      <c r="D54" s="107" t="s">
        <v>877</v>
      </c>
      <c r="E54" s="107" t="s">
        <v>283</v>
      </c>
      <c r="F54" s="107" t="s">
        <v>129</v>
      </c>
      <c r="G54" s="107" t="s">
        <v>978</v>
      </c>
      <c r="H54" s="107" t="s">
        <v>304</v>
      </c>
      <c r="I54" s="107" t="s">
        <v>116</v>
      </c>
      <c r="J54" s="107">
        <v>16</v>
      </c>
      <c r="K54" s="107" t="b">
        <v>1</v>
      </c>
      <c r="L54" s="110" t="s">
        <v>924</v>
      </c>
      <c r="M54" s="107" t="b">
        <v>1</v>
      </c>
      <c r="N54" s="107"/>
      <c r="O54" s="107" t="b">
        <v>1</v>
      </c>
      <c r="P54" s="107"/>
      <c r="Q54" s="116" t="b">
        <v>1</v>
      </c>
      <c r="R54" s="107"/>
      <c r="S54" s="107">
        <v>24</v>
      </c>
      <c r="T54" s="107"/>
      <c r="U54" s="107"/>
      <c r="V54" s="107" t="s">
        <v>418</v>
      </c>
    </row>
    <row r="55" spans="2:22">
      <c r="B55" s="107" t="str">
        <f t="shared" si="2"/>
        <v>UISection2Component.CIMSCT_WFSSeciton_List.CIMComp_creationUser</v>
      </c>
      <c r="C55" s="107" t="s">
        <v>906</v>
      </c>
      <c r="D55" s="107" t="s">
        <v>877</v>
      </c>
      <c r="E55" s="107" t="s">
        <v>283</v>
      </c>
      <c r="F55" s="107" t="s">
        <v>129</v>
      </c>
      <c r="G55" s="107" t="s">
        <v>979</v>
      </c>
      <c r="H55" s="107" t="s">
        <v>59</v>
      </c>
      <c r="I55" s="107" t="s">
        <v>116</v>
      </c>
      <c r="J55" s="107">
        <v>13</v>
      </c>
      <c r="K55" s="107" t="b">
        <v>1</v>
      </c>
      <c r="L55" s="110" t="s">
        <v>980</v>
      </c>
      <c r="M55" s="107" t="b">
        <v>1</v>
      </c>
      <c r="N55" s="107"/>
      <c r="O55" s="107" t="b">
        <v>1</v>
      </c>
      <c r="P55" s="107"/>
      <c r="Q55" s="116" t="b">
        <v>1</v>
      </c>
      <c r="R55" s="107"/>
      <c r="S55" s="107">
        <v>24</v>
      </c>
      <c r="T55" s="107"/>
      <c r="U55" s="107"/>
      <c r="V55" s="107" t="s">
        <v>418</v>
      </c>
    </row>
    <row r="56" spans="2:22">
      <c r="B56" s="107" t="str">
        <f t="shared" si="2"/>
        <v>UISection2Component.CIMSCT_WFSSeciton_List.CIMComp_creationDate</v>
      </c>
      <c r="C56" s="107" t="s">
        <v>906</v>
      </c>
      <c r="D56" s="107" t="s">
        <v>877</v>
      </c>
      <c r="E56" s="107" t="s">
        <v>283</v>
      </c>
      <c r="F56" s="107" t="s">
        <v>129</v>
      </c>
      <c r="G56" s="107" t="s">
        <v>981</v>
      </c>
      <c r="H56" s="107" t="s">
        <v>60</v>
      </c>
      <c r="I56" s="107" t="s">
        <v>116</v>
      </c>
      <c r="J56" s="107">
        <v>13</v>
      </c>
      <c r="K56" s="107" t="b">
        <v>1</v>
      </c>
      <c r="L56" s="110" t="s">
        <v>982</v>
      </c>
      <c r="M56" s="107" t="b">
        <v>0</v>
      </c>
      <c r="N56" s="107"/>
      <c r="O56" s="107" t="b">
        <v>1</v>
      </c>
      <c r="P56" s="107"/>
      <c r="Q56" s="116" t="b">
        <v>1</v>
      </c>
      <c r="R56" s="107"/>
      <c r="S56" s="107">
        <v>24</v>
      </c>
      <c r="T56" s="107"/>
      <c r="U56" s="107"/>
      <c r="V56" s="107" t="s">
        <v>418</v>
      </c>
    </row>
    <row r="57" spans="2:22">
      <c r="B57" s="105" t="str">
        <f t="shared" si="2"/>
        <v>UISection2Component.CIMSCT_WFSSeciton_Detail.CIMComp_name</v>
      </c>
      <c r="C57" s="105" t="s">
        <v>909</v>
      </c>
      <c r="D57" s="105" t="s">
        <v>880</v>
      </c>
      <c r="E57" s="105" t="s">
        <v>283</v>
      </c>
      <c r="F57" s="105" t="s">
        <v>129</v>
      </c>
      <c r="G57" s="105" t="s">
        <v>967</v>
      </c>
      <c r="H57" s="105" t="s">
        <v>46</v>
      </c>
      <c r="I57" s="105" t="s">
        <v>116</v>
      </c>
      <c r="J57" s="105">
        <v>10</v>
      </c>
      <c r="K57" s="105" t="b">
        <v>1</v>
      </c>
      <c r="L57" s="111" t="s">
        <v>968</v>
      </c>
      <c r="M57" s="105" t="b">
        <v>1</v>
      </c>
      <c r="N57" s="105"/>
      <c r="O57" s="105" t="b">
        <v>1</v>
      </c>
      <c r="P57" s="105"/>
      <c r="Q57" s="113" t="b">
        <v>1</v>
      </c>
      <c r="R57" s="105"/>
      <c r="S57" s="105">
        <v>24</v>
      </c>
      <c r="T57" s="105"/>
      <c r="U57" s="105"/>
      <c r="V57" s="105" t="s">
        <v>418</v>
      </c>
    </row>
    <row r="58" spans="2:22">
      <c r="B58" s="105" t="str">
        <f t="shared" si="2"/>
        <v>UISection2Component.CIMSCT_WFSSeciton_Detail.CIMComp_description</v>
      </c>
      <c r="C58" s="105" t="s">
        <v>909</v>
      </c>
      <c r="D58" s="105" t="s">
        <v>880</v>
      </c>
      <c r="E58" s="105" t="s">
        <v>283</v>
      </c>
      <c r="F58" s="105" t="s">
        <v>129</v>
      </c>
      <c r="G58" s="105" t="s">
        <v>969</v>
      </c>
      <c r="H58" s="105" t="s">
        <v>50</v>
      </c>
      <c r="I58" s="105" t="s">
        <v>116</v>
      </c>
      <c r="J58" s="105">
        <v>11</v>
      </c>
      <c r="K58" s="105" t="b">
        <v>1</v>
      </c>
      <c r="L58" s="111" t="s">
        <v>970</v>
      </c>
      <c r="M58" s="105" t="b">
        <v>1</v>
      </c>
      <c r="N58" s="105"/>
      <c r="O58" s="105" t="b">
        <v>1</v>
      </c>
      <c r="P58" s="105"/>
      <c r="Q58" s="113" t="b">
        <v>1</v>
      </c>
      <c r="R58" s="105"/>
      <c r="S58" s="105">
        <v>24</v>
      </c>
      <c r="T58" s="105"/>
      <c r="U58" s="105"/>
      <c r="V58" s="105" t="s">
        <v>418</v>
      </c>
    </row>
    <row r="59" spans="2:22">
      <c r="B59" s="105" t="str">
        <f t="shared" si="2"/>
        <v>UISection2Component.CIMSCT_WFSSeciton_Detail.CIMComp_-WorkflowSteps_obj_name</v>
      </c>
      <c r="C59" s="105" t="s">
        <v>909</v>
      </c>
      <c r="D59" s="105" t="s">
        <v>880</v>
      </c>
      <c r="E59" s="105" t="s">
        <v>283</v>
      </c>
      <c r="F59" s="105" t="s">
        <v>129</v>
      </c>
      <c r="G59" s="105" t="s">
        <v>971</v>
      </c>
      <c r="H59" s="315" t="s">
        <v>948</v>
      </c>
      <c r="I59" s="105" t="s">
        <v>116</v>
      </c>
      <c r="J59" s="105">
        <v>17</v>
      </c>
      <c r="K59" s="105" t="b">
        <v>1</v>
      </c>
      <c r="L59" s="112" t="s">
        <v>972</v>
      </c>
      <c r="M59" s="105" t="b">
        <v>1</v>
      </c>
      <c r="N59" s="105"/>
      <c r="O59" s="105" t="b">
        <v>1</v>
      </c>
      <c r="P59" s="105"/>
      <c r="Q59" s="113" t="b">
        <v>1</v>
      </c>
      <c r="R59" s="105"/>
      <c r="S59" s="105">
        <v>24</v>
      </c>
      <c r="T59" s="105"/>
      <c r="U59" s="105"/>
      <c r="V59" s="105" t="s">
        <v>418</v>
      </c>
    </row>
    <row r="60" spans="2:22">
      <c r="B60" s="105" t="str">
        <f t="shared" si="2"/>
        <v>UISection2Component.CIMSCT_WFSSeciton_Detail.CIMComp_WorkflowStepStatus</v>
      </c>
      <c r="C60" s="105" t="s">
        <v>909</v>
      </c>
      <c r="D60" s="105" t="s">
        <v>880</v>
      </c>
      <c r="E60" s="105" t="s">
        <v>283</v>
      </c>
      <c r="F60" s="105" t="s">
        <v>129</v>
      </c>
      <c r="G60" s="105" t="s">
        <v>973</v>
      </c>
      <c r="H60" s="105" t="s">
        <v>497</v>
      </c>
      <c r="I60" s="105" t="s">
        <v>116</v>
      </c>
      <c r="J60" s="105">
        <v>12</v>
      </c>
      <c r="K60" s="105" t="b">
        <v>1</v>
      </c>
      <c r="L60" s="112" t="s">
        <v>602</v>
      </c>
      <c r="M60" s="105" t="b">
        <v>1</v>
      </c>
      <c r="N60" s="105"/>
      <c r="O60" s="105" t="b">
        <v>1</v>
      </c>
      <c r="P60" s="105"/>
      <c r="Q60" s="113" t="b">
        <v>1</v>
      </c>
      <c r="R60" s="105"/>
      <c r="S60" s="105">
        <v>24</v>
      </c>
      <c r="T60" s="105"/>
      <c r="U60" s="105"/>
      <c r="V60" s="105" t="s">
        <v>418</v>
      </c>
    </row>
    <row r="61" spans="2:22">
      <c r="B61" s="105" t="str">
        <f t="shared" si="2"/>
        <v>UISection2Component.CIMSCT_WFSSeciton_Detail.CIMComp_WorkflowStepStartDate</v>
      </c>
      <c r="C61" s="105" t="s">
        <v>909</v>
      </c>
      <c r="D61" s="105" t="s">
        <v>880</v>
      </c>
      <c r="E61" s="105" t="s">
        <v>283</v>
      </c>
      <c r="F61" s="105" t="s">
        <v>129</v>
      </c>
      <c r="G61" s="105" t="s">
        <v>974</v>
      </c>
      <c r="H61" s="105" t="s">
        <v>295</v>
      </c>
      <c r="I61" s="105" t="s">
        <v>116</v>
      </c>
      <c r="J61" s="105">
        <v>14</v>
      </c>
      <c r="K61" s="105" t="b">
        <v>1</v>
      </c>
      <c r="L61" s="112" t="s">
        <v>975</v>
      </c>
      <c r="M61" s="105" t="b">
        <v>0</v>
      </c>
      <c r="N61" s="105"/>
      <c r="O61" s="105" t="b">
        <v>1</v>
      </c>
      <c r="P61" s="105"/>
      <c r="Q61" s="113" t="b">
        <v>1</v>
      </c>
      <c r="R61" s="105"/>
      <c r="S61" s="105">
        <v>24</v>
      </c>
      <c r="T61" s="105"/>
      <c r="U61" s="105"/>
      <c r="V61" s="105" t="s">
        <v>418</v>
      </c>
    </row>
    <row r="62" spans="2:22">
      <c r="B62" s="105" t="str">
        <f t="shared" si="2"/>
        <v>UISection2Component.CIMSCT_WFSSeciton_Detail.CIMComp_WorkflowStepEndDate</v>
      </c>
      <c r="C62" s="105" t="s">
        <v>909</v>
      </c>
      <c r="D62" s="105" t="s">
        <v>880</v>
      </c>
      <c r="E62" s="105" t="s">
        <v>283</v>
      </c>
      <c r="F62" s="105" t="s">
        <v>129</v>
      </c>
      <c r="G62" s="105" t="s">
        <v>976</v>
      </c>
      <c r="H62" s="105" t="s">
        <v>302</v>
      </c>
      <c r="I62" s="105" t="s">
        <v>116</v>
      </c>
      <c r="J62" s="105">
        <v>15</v>
      </c>
      <c r="K62" s="105" t="b">
        <v>1</v>
      </c>
      <c r="L62" s="112" t="s">
        <v>977</v>
      </c>
      <c r="M62" s="105" t="b">
        <v>0</v>
      </c>
      <c r="N62" s="105"/>
      <c r="O62" s="105" t="b">
        <v>1</v>
      </c>
      <c r="P62" s="105"/>
      <c r="Q62" s="113" t="b">
        <v>1</v>
      </c>
      <c r="R62" s="105"/>
      <c r="S62" s="105">
        <v>24</v>
      </c>
      <c r="T62" s="105"/>
      <c r="U62" s="105"/>
      <c r="V62" s="105" t="s">
        <v>418</v>
      </c>
    </row>
    <row r="63" spans="2:22">
      <c r="B63" s="105" t="str">
        <f t="shared" si="2"/>
        <v>UISection2Component.CIMSCT_WFSSeciton_Detail.CIMComp_WorkflowStepDuration</v>
      </c>
      <c r="C63" s="105" t="s">
        <v>909</v>
      </c>
      <c r="D63" s="105" t="s">
        <v>880</v>
      </c>
      <c r="E63" s="105" t="s">
        <v>283</v>
      </c>
      <c r="F63" s="105" t="s">
        <v>129</v>
      </c>
      <c r="G63" s="105" t="s">
        <v>978</v>
      </c>
      <c r="H63" s="105" t="s">
        <v>304</v>
      </c>
      <c r="I63" s="105" t="s">
        <v>116</v>
      </c>
      <c r="J63" s="105">
        <v>16</v>
      </c>
      <c r="K63" s="105" t="b">
        <v>1</v>
      </c>
      <c r="L63" s="112" t="s">
        <v>924</v>
      </c>
      <c r="M63" s="105" t="b">
        <v>1</v>
      </c>
      <c r="N63" s="105"/>
      <c r="O63" s="105" t="b">
        <v>1</v>
      </c>
      <c r="P63" s="105"/>
      <c r="Q63" s="113" t="b">
        <v>1</v>
      </c>
      <c r="R63" s="105"/>
      <c r="S63" s="105">
        <v>24</v>
      </c>
      <c r="T63" s="105"/>
      <c r="U63" s="105"/>
      <c r="V63" s="105" t="s">
        <v>418</v>
      </c>
    </row>
    <row r="64" spans="2:22">
      <c r="B64" s="105" t="str">
        <f t="shared" si="2"/>
        <v>UISection2Component.CIMSCT_WFSSeciton_Detail.CIMComp_creationUser</v>
      </c>
      <c r="C64" s="105" t="s">
        <v>909</v>
      </c>
      <c r="D64" s="105" t="s">
        <v>880</v>
      </c>
      <c r="E64" s="105" t="s">
        <v>283</v>
      </c>
      <c r="F64" s="105" t="s">
        <v>129</v>
      </c>
      <c r="G64" s="105" t="s">
        <v>979</v>
      </c>
      <c r="H64" s="105" t="s">
        <v>59</v>
      </c>
      <c r="I64" s="105" t="s">
        <v>116</v>
      </c>
      <c r="J64" s="105">
        <v>13</v>
      </c>
      <c r="K64" s="105" t="b">
        <v>1</v>
      </c>
      <c r="L64" s="112" t="s">
        <v>980</v>
      </c>
      <c r="M64" s="105" t="b">
        <v>1</v>
      </c>
      <c r="N64" s="105"/>
      <c r="O64" s="105" t="b">
        <v>1</v>
      </c>
      <c r="P64" s="105"/>
      <c r="Q64" s="113" t="b">
        <v>1</v>
      </c>
      <c r="R64" s="105"/>
      <c r="S64" s="105">
        <v>24</v>
      </c>
      <c r="T64" s="105"/>
      <c r="U64" s="105"/>
      <c r="V64" s="105" t="s">
        <v>418</v>
      </c>
    </row>
    <row r="65" spans="2:22">
      <c r="B65" s="105" t="str">
        <f t="shared" si="2"/>
        <v>UISection2Component.CIMSCT_WFSSeciton_Detail.CIMComp_creationDate</v>
      </c>
      <c r="C65" s="105" t="s">
        <v>909</v>
      </c>
      <c r="D65" s="105" t="s">
        <v>880</v>
      </c>
      <c r="E65" s="105" t="s">
        <v>283</v>
      </c>
      <c r="F65" s="105" t="s">
        <v>129</v>
      </c>
      <c r="G65" s="105" t="s">
        <v>981</v>
      </c>
      <c r="H65" s="105" t="s">
        <v>60</v>
      </c>
      <c r="I65" s="105" t="s">
        <v>116</v>
      </c>
      <c r="J65" s="105">
        <v>13</v>
      </c>
      <c r="K65" s="105" t="b">
        <v>1</v>
      </c>
      <c r="L65" s="112" t="s">
        <v>982</v>
      </c>
      <c r="M65" s="105" t="b">
        <v>0</v>
      </c>
      <c r="N65" s="105"/>
      <c r="O65" s="105" t="b">
        <v>1</v>
      </c>
      <c r="P65" s="105"/>
      <c r="Q65" s="113" t="b">
        <v>1</v>
      </c>
      <c r="R65" s="105"/>
      <c r="S65" s="105">
        <v>24</v>
      </c>
      <c r="T65" s="105"/>
      <c r="U65" s="105"/>
      <c r="V65" s="105" t="s">
        <v>418</v>
      </c>
    </row>
    <row r="66" spans="2:22">
      <c r="B66" s="105" t="str">
        <f t="shared" si="2"/>
        <v>UISection2Component.CIMSCT_WFSSeciton_Detail_RichText.CIMComp_WorkflowStepComments</v>
      </c>
      <c r="C66" s="105" t="s">
        <v>910</v>
      </c>
      <c r="D66" s="105" t="s">
        <v>883</v>
      </c>
      <c r="E66" s="105" t="s">
        <v>283</v>
      </c>
      <c r="F66" s="105" t="s">
        <v>129</v>
      </c>
      <c r="G66" s="105" t="s">
        <v>983</v>
      </c>
      <c r="H66" s="105" t="s">
        <v>626</v>
      </c>
      <c r="I66" s="105" t="s">
        <v>116</v>
      </c>
      <c r="J66" s="105">
        <v>17</v>
      </c>
      <c r="K66" s="105" t="b">
        <v>1</v>
      </c>
      <c r="L66" s="112" t="s">
        <v>627</v>
      </c>
      <c r="M66" s="105" t="b">
        <v>1</v>
      </c>
      <c r="N66" s="105"/>
      <c r="O66" s="105" t="b">
        <v>1</v>
      </c>
      <c r="P66" s="105"/>
      <c r="Q66" s="113" t="b">
        <v>1</v>
      </c>
      <c r="R66" s="105"/>
      <c r="S66" s="105">
        <v>1</v>
      </c>
      <c r="T66" s="105"/>
      <c r="U66" s="105"/>
      <c r="V66" s="105"/>
    </row>
    <row r="67" spans="2:22">
      <c r="B67" s="117" t="str">
        <f t="shared" si="2"/>
        <v>UISection2Component.CIMSCT_WFST_Section_W.CIMComp_+WorkflowStepStepDef</v>
      </c>
      <c r="C67" s="117" t="s">
        <v>912</v>
      </c>
      <c r="D67" s="117" t="s">
        <v>885</v>
      </c>
      <c r="E67" s="117" t="s">
        <v>283</v>
      </c>
      <c r="F67" s="117" t="s">
        <v>129</v>
      </c>
      <c r="G67" s="117" t="s">
        <v>984</v>
      </c>
      <c r="H67" s="318" t="s">
        <v>926</v>
      </c>
      <c r="I67" s="117" t="s">
        <v>116</v>
      </c>
      <c r="J67" s="117">
        <v>10</v>
      </c>
      <c r="K67" s="117" t="b">
        <v>1</v>
      </c>
      <c r="L67" s="117"/>
      <c r="M67" s="117" t="b">
        <v>0</v>
      </c>
      <c r="N67" s="117"/>
      <c r="O67" s="117" t="b">
        <v>1</v>
      </c>
      <c r="P67" s="117"/>
      <c r="Q67" s="121" t="s">
        <v>960</v>
      </c>
      <c r="R67" s="117"/>
      <c r="S67" s="117">
        <v>24</v>
      </c>
      <c r="T67" s="117"/>
      <c r="U67" s="117"/>
      <c r="V67" s="117" t="s">
        <v>418</v>
      </c>
    </row>
    <row r="68" spans="2:22">
      <c r="B68" s="117" t="str">
        <f t="shared" si="2"/>
        <v>UISection2Component.CIMSCT_WFST_Section_W.CIMComp_FrontStepId</v>
      </c>
      <c r="C68" s="117" t="s">
        <v>912</v>
      </c>
      <c r="D68" s="117" t="s">
        <v>885</v>
      </c>
      <c r="E68" s="117" t="s">
        <v>283</v>
      </c>
      <c r="F68" s="117" t="s">
        <v>129</v>
      </c>
      <c r="G68" s="117" t="s">
        <v>985</v>
      </c>
      <c r="H68" s="117" t="s">
        <v>403</v>
      </c>
      <c r="I68" s="117" t="s">
        <v>116</v>
      </c>
      <c r="J68" s="117">
        <v>11</v>
      </c>
      <c r="K68" s="117" t="b">
        <v>1</v>
      </c>
      <c r="L68" s="117"/>
      <c r="M68" s="117" t="b">
        <v>0</v>
      </c>
      <c r="N68" s="117"/>
      <c r="O68" s="117" t="b">
        <v>1</v>
      </c>
      <c r="P68" s="117"/>
      <c r="Q68" s="121" t="s">
        <v>960</v>
      </c>
      <c r="R68" s="117"/>
      <c r="S68" s="117">
        <v>24</v>
      </c>
      <c r="T68" s="117"/>
      <c r="U68" s="117"/>
      <c r="V68" s="117" t="s">
        <v>418</v>
      </c>
    </row>
    <row r="69" spans="2:22">
      <c r="B69" s="117" t="str">
        <f t="shared" si="2"/>
        <v>UISection2Component.CIMSCT_WFST_Section_W.CIMComp_WorkflowStepOperationMode</v>
      </c>
      <c r="C69" s="117" t="s">
        <v>912</v>
      </c>
      <c r="D69" s="117" t="s">
        <v>885</v>
      </c>
      <c r="E69" s="117" t="s">
        <v>283</v>
      </c>
      <c r="F69" s="117" t="s">
        <v>129</v>
      </c>
      <c r="G69" s="117" t="s">
        <v>986</v>
      </c>
      <c r="H69" s="117" t="s">
        <v>525</v>
      </c>
      <c r="I69" s="117" t="s">
        <v>116</v>
      </c>
      <c r="J69" s="117">
        <v>12</v>
      </c>
      <c r="K69" s="117" t="b">
        <v>1</v>
      </c>
      <c r="L69" s="117"/>
      <c r="M69" s="117" t="b">
        <v>1</v>
      </c>
      <c r="N69" s="117"/>
      <c r="O69" s="117" t="b">
        <v>1</v>
      </c>
      <c r="P69" s="117"/>
      <c r="Q69" s="121" t="s">
        <v>960</v>
      </c>
      <c r="R69" s="117"/>
      <c r="S69" s="117">
        <v>24</v>
      </c>
      <c r="T69" s="117"/>
      <c r="U69" s="117"/>
      <c r="V69" s="117" t="s">
        <v>418</v>
      </c>
    </row>
    <row r="70" spans="2:22">
      <c r="B70" s="117" t="str">
        <f t="shared" si="2"/>
        <v>UISection2Component.CIMSCT_WFST_Section_W.CIMComp_+WorkflowStepSuccessStatus</v>
      </c>
      <c r="C70" s="117" t="s">
        <v>912</v>
      </c>
      <c r="D70" s="117" t="s">
        <v>885</v>
      </c>
      <c r="E70" s="117" t="s">
        <v>283</v>
      </c>
      <c r="F70" s="117" t="s">
        <v>129</v>
      </c>
      <c r="G70" s="117" t="s">
        <v>987</v>
      </c>
      <c r="H70" s="318" t="s">
        <v>928</v>
      </c>
      <c r="I70" s="117" t="s">
        <v>116</v>
      </c>
      <c r="J70" s="117">
        <v>13</v>
      </c>
      <c r="K70" s="117" t="b">
        <v>1</v>
      </c>
      <c r="L70" s="117"/>
      <c r="M70" s="117" t="b">
        <v>1</v>
      </c>
      <c r="N70" s="117"/>
      <c r="O70" s="121" t="s">
        <v>960</v>
      </c>
      <c r="P70" s="117"/>
      <c r="Q70" s="121" t="s">
        <v>960</v>
      </c>
      <c r="R70" s="117"/>
      <c r="S70" s="117">
        <v>24</v>
      </c>
      <c r="T70" s="117"/>
      <c r="U70" s="117"/>
      <c r="V70" s="117" t="s">
        <v>418</v>
      </c>
    </row>
    <row r="71" spans="2:22">
      <c r="B71" s="117" t="str">
        <f t="shared" si="2"/>
        <v>UISection2Component.CIMSCT_WFST_Section_W.CIMComp_+WorkflowStepFailureStatus</v>
      </c>
      <c r="C71" s="117" t="s">
        <v>912</v>
      </c>
      <c r="D71" s="117" t="s">
        <v>885</v>
      </c>
      <c r="E71" s="117" t="s">
        <v>283</v>
      </c>
      <c r="F71" s="117" t="s">
        <v>129</v>
      </c>
      <c r="G71" s="117" t="s">
        <v>988</v>
      </c>
      <c r="H71" s="318" t="s">
        <v>930</v>
      </c>
      <c r="I71" s="117" t="s">
        <v>116</v>
      </c>
      <c r="J71" s="117">
        <v>14</v>
      </c>
      <c r="K71" s="117" t="b">
        <v>1</v>
      </c>
      <c r="L71" s="117"/>
      <c r="M71" s="117" t="b">
        <v>1</v>
      </c>
      <c r="N71" s="117"/>
      <c r="O71" s="121" t="s">
        <v>960</v>
      </c>
      <c r="P71" s="117"/>
      <c r="Q71" s="121" t="s">
        <v>960</v>
      </c>
      <c r="R71" s="117"/>
      <c r="S71" s="117">
        <v>24</v>
      </c>
      <c r="T71" s="117"/>
      <c r="U71" s="117"/>
      <c r="V71" s="117" t="s">
        <v>418</v>
      </c>
    </row>
    <row r="72" spans="2:22">
      <c r="B72" s="117" t="str">
        <f t="shared" si="2"/>
        <v>UISection2Component.CIMSCT_WFST_Section_W.CIMComp_+WorkflowStepStepRecipients</v>
      </c>
      <c r="C72" s="117" t="s">
        <v>912</v>
      </c>
      <c r="D72" s="117" t="s">
        <v>885</v>
      </c>
      <c r="E72" s="117" t="s">
        <v>283</v>
      </c>
      <c r="F72" s="117" t="s">
        <v>129</v>
      </c>
      <c r="G72" s="117" t="s">
        <v>989</v>
      </c>
      <c r="H72" s="318" t="s">
        <v>932</v>
      </c>
      <c r="I72" s="117" t="s">
        <v>116</v>
      </c>
      <c r="J72" s="117">
        <v>15</v>
      </c>
      <c r="K72" s="117" t="b">
        <v>1</v>
      </c>
      <c r="L72" s="117"/>
      <c r="M72" s="117" t="b">
        <v>1</v>
      </c>
      <c r="N72" s="117"/>
      <c r="O72" s="117" t="b">
        <v>1</v>
      </c>
      <c r="P72" s="117"/>
      <c r="Q72" s="121" t="s">
        <v>960</v>
      </c>
      <c r="R72" s="117"/>
      <c r="S72" s="117">
        <v>24</v>
      </c>
      <c r="T72" s="117"/>
      <c r="U72" s="117"/>
      <c r="V72" s="117" t="s">
        <v>418</v>
      </c>
    </row>
    <row r="73" spans="2:22">
      <c r="B73" s="117" t="str">
        <f t="shared" si="2"/>
        <v>UISection2Component.CIMSCT_WFST_Section_W.CIMComp_WorkflowStepDuration</v>
      </c>
      <c r="C73" s="117" t="s">
        <v>912</v>
      </c>
      <c r="D73" s="117" t="s">
        <v>885</v>
      </c>
      <c r="E73" s="117" t="s">
        <v>283</v>
      </c>
      <c r="F73" s="117" t="s">
        <v>129</v>
      </c>
      <c r="G73" s="117" t="s">
        <v>978</v>
      </c>
      <c r="H73" s="117" t="s">
        <v>304</v>
      </c>
      <c r="I73" s="117" t="s">
        <v>116</v>
      </c>
      <c r="J73" s="117">
        <v>16</v>
      </c>
      <c r="K73" s="117" t="b">
        <v>1</v>
      </c>
      <c r="L73" s="117"/>
      <c r="M73" s="117" t="b">
        <v>1</v>
      </c>
      <c r="N73" s="117"/>
      <c r="O73" s="121" t="s">
        <v>960</v>
      </c>
      <c r="P73" s="117"/>
      <c r="Q73" s="121" t="s">
        <v>960</v>
      </c>
      <c r="R73" s="117"/>
      <c r="S73" s="117">
        <v>24</v>
      </c>
      <c r="T73" s="117"/>
      <c r="U73" s="117"/>
      <c r="V73" s="117" t="s">
        <v>418</v>
      </c>
    </row>
    <row r="74" spans="2:22">
      <c r="B74" s="117" t="str">
        <f t="shared" si="2"/>
        <v>UISection2Component.CIMSCT_WFST_Section_W.CIMComp_WorkflowStepWarningTime</v>
      </c>
      <c r="C74" s="117" t="s">
        <v>912</v>
      </c>
      <c r="D74" s="117" t="s">
        <v>885</v>
      </c>
      <c r="E74" s="117" t="s">
        <v>283</v>
      </c>
      <c r="F74" s="117" t="s">
        <v>129</v>
      </c>
      <c r="G74" s="117" t="s">
        <v>990</v>
      </c>
      <c r="H74" s="117" t="s">
        <v>298</v>
      </c>
      <c r="I74" s="117" t="s">
        <v>116</v>
      </c>
      <c r="J74" s="117">
        <v>17</v>
      </c>
      <c r="K74" s="117" t="b">
        <v>1</v>
      </c>
      <c r="L74" s="117"/>
      <c r="M74" s="117" t="b">
        <v>1</v>
      </c>
      <c r="N74" s="117"/>
      <c r="O74" s="121" t="s">
        <v>960</v>
      </c>
      <c r="P74" s="117"/>
      <c r="Q74" s="121" t="s">
        <v>960</v>
      </c>
      <c r="R74" s="117"/>
      <c r="S74" s="117">
        <v>24</v>
      </c>
      <c r="T74" s="117"/>
      <c r="U74" s="117"/>
      <c r="V74" s="117" t="s">
        <v>418</v>
      </c>
    </row>
    <row r="75" spans="2:22">
      <c r="B75" s="117" t="str">
        <f t="shared" si="2"/>
        <v>UISection2Component.CIMSCT_WFST_Section_W.CIMComp_WorkflowStepPrincipalPrescription</v>
      </c>
      <c r="C75" s="117" t="s">
        <v>912</v>
      </c>
      <c r="D75" s="117" t="s">
        <v>885</v>
      </c>
      <c r="E75" s="117" t="s">
        <v>283</v>
      </c>
      <c r="F75" s="117" t="s">
        <v>129</v>
      </c>
      <c r="G75" s="117" t="s">
        <v>991</v>
      </c>
      <c r="H75" s="117" t="s">
        <v>300</v>
      </c>
      <c r="I75" s="117" t="s">
        <v>116</v>
      </c>
      <c r="J75" s="117">
        <v>18</v>
      </c>
      <c r="K75" s="117" t="b">
        <v>1</v>
      </c>
      <c r="L75" s="117"/>
      <c r="M75" s="117" t="b">
        <v>1</v>
      </c>
      <c r="N75" s="117"/>
      <c r="O75" s="121" t="s">
        <v>960</v>
      </c>
      <c r="P75" s="117"/>
      <c r="Q75" s="121" t="s">
        <v>960</v>
      </c>
      <c r="R75" s="117"/>
      <c r="S75" s="117">
        <v>24</v>
      </c>
      <c r="T75" s="117"/>
      <c r="U75" s="117"/>
      <c r="V75" s="117" t="s">
        <v>418</v>
      </c>
    </row>
    <row r="76" spans="2:22">
      <c r="B76" s="117" t="str">
        <f t="shared" si="2"/>
        <v>UISection2Component.CIMSCT_WFST_Section_W.CIMComp_+WorkflowStepEarlyWarningMode</v>
      </c>
      <c r="C76" s="117" t="s">
        <v>912</v>
      </c>
      <c r="D76" s="117" t="s">
        <v>885</v>
      </c>
      <c r="E76" s="117" t="s">
        <v>283</v>
      </c>
      <c r="F76" s="117" t="s">
        <v>129</v>
      </c>
      <c r="G76" s="117" t="s">
        <v>992</v>
      </c>
      <c r="H76" s="318" t="s">
        <v>951</v>
      </c>
      <c r="I76" s="117" t="s">
        <v>116</v>
      </c>
      <c r="J76" s="117">
        <v>19</v>
      </c>
      <c r="K76" s="117" t="b">
        <v>1</v>
      </c>
      <c r="L76" s="117"/>
      <c r="M76" s="117" t="b">
        <v>1</v>
      </c>
      <c r="N76" s="117"/>
      <c r="O76" s="121" t="s">
        <v>960</v>
      </c>
      <c r="P76" s="117"/>
      <c r="Q76" s="121" t="s">
        <v>960</v>
      </c>
      <c r="R76" s="117"/>
      <c r="S76" s="117">
        <v>24</v>
      </c>
      <c r="T76" s="117"/>
      <c r="U76" s="117"/>
      <c r="V76" s="117" t="s">
        <v>418</v>
      </c>
    </row>
    <row r="77" spans="2:22">
      <c r="B77" s="117" t="str">
        <f t="shared" si="2"/>
        <v>UISection2Component.CIMSCT_WFST_Section_W.CIMComp_+WorkflowStepOvertimePrincipal</v>
      </c>
      <c r="C77" s="117" t="s">
        <v>912</v>
      </c>
      <c r="D77" s="117" t="s">
        <v>885</v>
      </c>
      <c r="E77" s="117" t="s">
        <v>283</v>
      </c>
      <c r="F77" s="117" t="s">
        <v>129</v>
      </c>
      <c r="G77" s="117" t="s">
        <v>993</v>
      </c>
      <c r="H77" s="318" t="s">
        <v>953</v>
      </c>
      <c r="I77" s="117" t="s">
        <v>116</v>
      </c>
      <c r="J77" s="117">
        <v>20</v>
      </c>
      <c r="K77" s="117" t="b">
        <v>1</v>
      </c>
      <c r="L77" s="117"/>
      <c r="M77" s="117" t="b">
        <v>1</v>
      </c>
      <c r="N77" s="117"/>
      <c r="O77" s="121" t="s">
        <v>960</v>
      </c>
      <c r="P77" s="117"/>
      <c r="Q77" s="121" t="s">
        <v>960</v>
      </c>
      <c r="R77" s="117"/>
      <c r="S77" s="117">
        <v>24</v>
      </c>
      <c r="T77" s="117"/>
      <c r="U77" s="117"/>
      <c r="V77" s="117" t="s">
        <v>418</v>
      </c>
    </row>
    <row r="78" spans="2:22">
      <c r="B78" s="107" t="str">
        <f t="shared" si="2"/>
        <v>UISection2Component.CIMSCT_WFST_Section_I.CIMComp_+WorkflowStepStepDef</v>
      </c>
      <c r="C78" s="107" t="s">
        <v>913</v>
      </c>
      <c r="D78" s="107" t="s">
        <v>886</v>
      </c>
      <c r="E78" s="107" t="s">
        <v>283</v>
      </c>
      <c r="F78" s="107" t="s">
        <v>129</v>
      </c>
      <c r="G78" s="107" t="s">
        <v>984</v>
      </c>
      <c r="H78" s="317" t="s">
        <v>926</v>
      </c>
      <c r="I78" s="107" t="s">
        <v>116</v>
      </c>
      <c r="J78" s="107">
        <v>10</v>
      </c>
      <c r="K78" s="107" t="b">
        <v>1</v>
      </c>
      <c r="L78" s="107"/>
      <c r="M78" s="107" t="b">
        <v>0</v>
      </c>
      <c r="N78" s="107"/>
      <c r="O78" s="107" t="b">
        <v>1</v>
      </c>
      <c r="P78" s="107"/>
      <c r="Q78" s="116" t="s">
        <v>960</v>
      </c>
      <c r="R78" s="107"/>
      <c r="S78" s="107">
        <v>24</v>
      </c>
      <c r="T78" s="107"/>
      <c r="U78" s="107"/>
      <c r="V78" s="107" t="s">
        <v>418</v>
      </c>
    </row>
    <row r="79" spans="2:22">
      <c r="B79" s="107" t="str">
        <f t="shared" si="2"/>
        <v>UISection2Component.CIMSCT_WFST_Section_I.CIMComp_FrontStepId</v>
      </c>
      <c r="C79" s="107" t="s">
        <v>913</v>
      </c>
      <c r="D79" s="107" t="s">
        <v>886</v>
      </c>
      <c r="E79" s="107" t="s">
        <v>283</v>
      </c>
      <c r="F79" s="107" t="s">
        <v>129</v>
      </c>
      <c r="G79" s="107" t="s">
        <v>985</v>
      </c>
      <c r="H79" s="107" t="s">
        <v>403</v>
      </c>
      <c r="I79" s="107" t="s">
        <v>116</v>
      </c>
      <c r="J79" s="107">
        <v>11</v>
      </c>
      <c r="K79" s="107" t="b">
        <v>1</v>
      </c>
      <c r="L79" s="107"/>
      <c r="M79" s="107" t="b">
        <v>0</v>
      </c>
      <c r="N79" s="107"/>
      <c r="O79" s="107" t="b">
        <v>1</v>
      </c>
      <c r="P79" s="107"/>
      <c r="Q79" s="116" t="s">
        <v>960</v>
      </c>
      <c r="R79" s="107"/>
      <c r="S79" s="107">
        <v>24</v>
      </c>
      <c r="T79" s="107"/>
      <c r="U79" s="107"/>
      <c r="V79" s="107" t="s">
        <v>418</v>
      </c>
    </row>
    <row r="80" spans="2:22">
      <c r="B80" s="107" t="str">
        <f t="shared" ref="B80:B92" si="3">F80&amp;"."&amp;C80&amp;"."&amp;G80</f>
        <v>UISection2Component.CIMSCT_WFST_Section_I.CIMComp_+WorkflowStepStepRecipients</v>
      </c>
      <c r="C80" s="107" t="s">
        <v>913</v>
      </c>
      <c r="D80" s="107" t="s">
        <v>886</v>
      </c>
      <c r="E80" s="107" t="s">
        <v>283</v>
      </c>
      <c r="F80" s="107" t="s">
        <v>129</v>
      </c>
      <c r="G80" s="107" t="s">
        <v>989</v>
      </c>
      <c r="H80" s="317" t="s">
        <v>932</v>
      </c>
      <c r="I80" s="107" t="s">
        <v>116</v>
      </c>
      <c r="J80" s="107">
        <v>12</v>
      </c>
      <c r="K80" s="107" t="b">
        <v>1</v>
      </c>
      <c r="L80" s="107"/>
      <c r="M80" s="107" t="b">
        <v>1</v>
      </c>
      <c r="N80" s="107"/>
      <c r="O80" s="107" t="b">
        <v>1</v>
      </c>
      <c r="P80" s="107"/>
      <c r="Q80" s="116" t="s">
        <v>960</v>
      </c>
      <c r="R80" s="107"/>
      <c r="S80" s="107">
        <v>24</v>
      </c>
      <c r="T80" s="107"/>
      <c r="U80" s="107"/>
      <c r="V80" s="107" t="s">
        <v>418</v>
      </c>
    </row>
    <row r="81" spans="2:22">
      <c r="B81" s="118" t="str">
        <f t="shared" si="3"/>
        <v>UISection2Component.CIMSCT_WFST_Section_P.CIMComp_+WorkflowStepStepDef</v>
      </c>
      <c r="C81" s="118" t="s">
        <v>911</v>
      </c>
      <c r="D81" s="118" t="s">
        <v>887</v>
      </c>
      <c r="E81" s="118" t="s">
        <v>283</v>
      </c>
      <c r="F81" s="118" t="s">
        <v>129</v>
      </c>
      <c r="G81" s="118" t="s">
        <v>984</v>
      </c>
      <c r="H81" s="319" t="s">
        <v>926</v>
      </c>
      <c r="I81" s="118" t="s">
        <v>116</v>
      </c>
      <c r="J81" s="118">
        <v>10</v>
      </c>
      <c r="K81" s="118" t="b">
        <v>1</v>
      </c>
      <c r="L81" s="118"/>
      <c r="M81" s="118" t="b">
        <v>0</v>
      </c>
      <c r="N81" s="118"/>
      <c r="O81" s="118" t="b">
        <v>1</v>
      </c>
      <c r="P81" s="118"/>
      <c r="Q81" s="123" t="s">
        <v>960</v>
      </c>
      <c r="R81" s="118"/>
      <c r="S81" s="118">
        <v>24</v>
      </c>
      <c r="T81" s="118"/>
      <c r="U81" s="118"/>
      <c r="V81" s="118" t="s">
        <v>418</v>
      </c>
    </row>
    <row r="82" spans="2:22">
      <c r="B82" s="119" t="str">
        <f t="shared" si="3"/>
        <v>UISection2Component.CIMSCT_WFST_Section_P.CIMComp_FrontStepId</v>
      </c>
      <c r="C82" s="119" t="s">
        <v>911</v>
      </c>
      <c r="D82" s="119" t="s">
        <v>887</v>
      </c>
      <c r="E82" s="119" t="s">
        <v>283</v>
      </c>
      <c r="F82" s="119" t="s">
        <v>129</v>
      </c>
      <c r="G82" s="119" t="s">
        <v>985</v>
      </c>
      <c r="H82" s="119" t="s">
        <v>403</v>
      </c>
      <c r="I82" s="119" t="s">
        <v>116</v>
      </c>
      <c r="J82" s="119">
        <v>11</v>
      </c>
      <c r="K82" s="119" t="b">
        <v>1</v>
      </c>
      <c r="L82" s="119"/>
      <c r="M82" s="119" t="b">
        <v>0</v>
      </c>
      <c r="N82" s="119"/>
      <c r="O82" s="119" t="b">
        <v>1</v>
      </c>
      <c r="P82" s="119"/>
      <c r="Q82" s="124" t="s">
        <v>960</v>
      </c>
      <c r="R82" s="119"/>
      <c r="S82" s="119">
        <v>24</v>
      </c>
      <c r="T82" s="119"/>
      <c r="U82" s="119"/>
      <c r="V82" s="119" t="s">
        <v>418</v>
      </c>
    </row>
    <row r="83" spans="2:22">
      <c r="B83" s="120" t="str">
        <f t="shared" si="3"/>
        <v>UISection2Component.CIMSCT_WFC_Section.CIMComp_-CIMHierarchyCompositionItems</v>
      </c>
      <c r="C83" s="120" t="s">
        <v>914</v>
      </c>
      <c r="D83" s="120" t="s">
        <v>888</v>
      </c>
      <c r="E83" s="120" t="s">
        <v>283</v>
      </c>
      <c r="F83" s="120" t="s">
        <v>129</v>
      </c>
      <c r="G83" s="120" t="s">
        <v>994</v>
      </c>
      <c r="H83" s="320" t="s">
        <v>995</v>
      </c>
      <c r="I83" s="120" t="s">
        <v>116</v>
      </c>
      <c r="J83" s="120">
        <v>11</v>
      </c>
      <c r="K83" s="120" t="b">
        <v>1</v>
      </c>
      <c r="L83" s="120"/>
      <c r="M83" s="120" t="b">
        <v>1</v>
      </c>
      <c r="N83" s="120"/>
      <c r="O83" s="122" t="s">
        <v>960</v>
      </c>
      <c r="P83" s="120"/>
      <c r="Q83" s="122" t="s">
        <v>960</v>
      </c>
      <c r="R83" s="120"/>
      <c r="S83" s="120">
        <v>24</v>
      </c>
      <c r="T83" s="120"/>
      <c r="U83" s="120"/>
      <c r="V83" s="120" t="s">
        <v>418</v>
      </c>
    </row>
    <row r="84" spans="2:22">
      <c r="B84" s="106" t="str">
        <f t="shared" si="3"/>
        <v>UISection2Component.CIMSCT_WF_Section_List.CIMComp_name</v>
      </c>
      <c r="C84" s="106" t="s">
        <v>917</v>
      </c>
      <c r="D84" s="106" t="s">
        <v>890</v>
      </c>
      <c r="E84" s="106" t="s">
        <v>283</v>
      </c>
      <c r="F84" s="106" t="s">
        <v>129</v>
      </c>
      <c r="G84" s="106" t="s">
        <v>967</v>
      </c>
      <c r="H84" s="106" t="s">
        <v>46</v>
      </c>
      <c r="I84" s="106" t="s">
        <v>116</v>
      </c>
      <c r="J84" s="106">
        <v>10</v>
      </c>
      <c r="K84" s="106" t="b">
        <v>1</v>
      </c>
      <c r="L84" s="106"/>
      <c r="M84" s="106" t="b">
        <v>1</v>
      </c>
      <c r="N84" s="106"/>
      <c r="O84" s="115" t="s">
        <v>960</v>
      </c>
      <c r="P84" s="106"/>
      <c r="Q84" s="115" t="b">
        <v>1</v>
      </c>
      <c r="R84" s="106"/>
      <c r="S84" s="106">
        <v>24</v>
      </c>
      <c r="T84" s="106"/>
      <c r="U84" s="106"/>
      <c r="V84" s="106" t="s">
        <v>418</v>
      </c>
    </row>
    <row r="85" spans="2:22">
      <c r="B85" s="106" t="str">
        <f t="shared" si="3"/>
        <v>UISection2Component.CIMSCT_WF_Section_List.CIMComp_description</v>
      </c>
      <c r="C85" s="106" t="s">
        <v>917</v>
      </c>
      <c r="D85" s="106" t="s">
        <v>890</v>
      </c>
      <c r="E85" s="106" t="s">
        <v>283</v>
      </c>
      <c r="F85" s="106" t="s">
        <v>129</v>
      </c>
      <c r="G85" s="106" t="s">
        <v>969</v>
      </c>
      <c r="H85" s="106" t="s">
        <v>50</v>
      </c>
      <c r="I85" s="106" t="s">
        <v>116</v>
      </c>
      <c r="J85" s="106">
        <v>11</v>
      </c>
      <c r="K85" s="106" t="b">
        <v>1</v>
      </c>
      <c r="L85" s="106"/>
      <c r="M85" s="106" t="b">
        <v>1</v>
      </c>
      <c r="N85" s="106"/>
      <c r="O85" s="115" t="s">
        <v>960</v>
      </c>
      <c r="P85" s="106"/>
      <c r="Q85" s="115" t="b">
        <v>1</v>
      </c>
      <c r="R85" s="106"/>
      <c r="S85" s="106">
        <v>24</v>
      </c>
      <c r="T85" s="106"/>
      <c r="U85" s="106"/>
      <c r="V85" s="106" t="s">
        <v>418</v>
      </c>
    </row>
    <row r="86" spans="2:22">
      <c r="B86" s="106" t="str">
        <f t="shared" si="3"/>
        <v>UISection2Component.CIMSCT_WF_Section_List.CIMComp_WorkflowRev</v>
      </c>
      <c r="C86" s="106" t="s">
        <v>917</v>
      </c>
      <c r="D86" s="106" t="s">
        <v>890</v>
      </c>
      <c r="E86" s="106" t="s">
        <v>283</v>
      </c>
      <c r="F86" s="106" t="s">
        <v>129</v>
      </c>
      <c r="G86" s="106" t="s">
        <v>996</v>
      </c>
      <c r="H86" s="106" t="s">
        <v>637</v>
      </c>
      <c r="I86" s="106" t="s">
        <v>116</v>
      </c>
      <c r="J86" s="106">
        <v>12</v>
      </c>
      <c r="K86" s="106" t="b">
        <v>1</v>
      </c>
      <c r="L86" s="106"/>
      <c r="M86" s="106" t="b">
        <v>1</v>
      </c>
      <c r="N86" s="106"/>
      <c r="O86" s="115" t="s">
        <v>960</v>
      </c>
      <c r="P86" s="106"/>
      <c r="Q86" s="115" t="b">
        <v>1</v>
      </c>
      <c r="R86" s="106"/>
      <c r="S86" s="106">
        <v>24</v>
      </c>
      <c r="T86" s="106"/>
      <c r="U86" s="106"/>
      <c r="V86" s="106" t="s">
        <v>418</v>
      </c>
    </row>
    <row r="87" spans="2:22">
      <c r="B87" s="106" t="str">
        <f t="shared" si="3"/>
        <v>UISection2Component.CIMSCT_WF_Section_List.CIMComp_WorkflowStatus</v>
      </c>
      <c r="C87" s="106" t="s">
        <v>917</v>
      </c>
      <c r="D87" s="106" t="s">
        <v>890</v>
      </c>
      <c r="E87" s="106" t="s">
        <v>283</v>
      </c>
      <c r="F87" s="106" t="s">
        <v>129</v>
      </c>
      <c r="G87" s="106" t="s">
        <v>997</v>
      </c>
      <c r="H87" s="106" t="s">
        <v>467</v>
      </c>
      <c r="I87" s="106" t="s">
        <v>116</v>
      </c>
      <c r="J87" s="106">
        <v>13</v>
      </c>
      <c r="K87" s="106" t="b">
        <v>1</v>
      </c>
      <c r="L87" s="106"/>
      <c r="M87" s="106" t="b">
        <v>1</v>
      </c>
      <c r="N87" s="106"/>
      <c r="O87" s="115" t="s">
        <v>960</v>
      </c>
      <c r="P87" s="106"/>
      <c r="Q87" s="115" t="b">
        <v>1</v>
      </c>
      <c r="R87" s="106"/>
      <c r="S87" s="106">
        <v>24</v>
      </c>
      <c r="T87" s="106"/>
      <c r="U87" s="106"/>
      <c r="V87" s="106" t="s">
        <v>418</v>
      </c>
    </row>
    <row r="88" spans="2:22">
      <c r="B88" s="106" t="str">
        <f t="shared" si="3"/>
        <v>UISection2Component.CIMSCT_WF_Section_List.CIMComp_creationUser</v>
      </c>
      <c r="C88" s="106" t="s">
        <v>917</v>
      </c>
      <c r="D88" s="106" t="s">
        <v>890</v>
      </c>
      <c r="E88" s="106" t="s">
        <v>283</v>
      </c>
      <c r="F88" s="106" t="s">
        <v>129</v>
      </c>
      <c r="G88" s="106" t="s">
        <v>979</v>
      </c>
      <c r="H88" s="106" t="s">
        <v>59</v>
      </c>
      <c r="I88" s="106" t="s">
        <v>116</v>
      </c>
      <c r="J88" s="106">
        <v>14</v>
      </c>
      <c r="K88" s="106" t="b">
        <v>1</v>
      </c>
      <c r="L88" s="115" t="s">
        <v>998</v>
      </c>
      <c r="M88" s="106" t="b">
        <v>1</v>
      </c>
      <c r="N88" s="106"/>
      <c r="O88" s="115" t="s">
        <v>960</v>
      </c>
      <c r="P88" s="106"/>
      <c r="Q88" s="115" t="b">
        <v>1</v>
      </c>
      <c r="R88" s="106"/>
      <c r="S88" s="106">
        <v>24</v>
      </c>
      <c r="T88" s="106"/>
      <c r="U88" s="106"/>
      <c r="V88" s="115" t="s">
        <v>418</v>
      </c>
    </row>
    <row r="89" spans="2:22">
      <c r="B89" s="106" t="str">
        <f t="shared" si="3"/>
        <v>UISection2Component.CIMSCT_WF_Section_List.CIMComp_creationDate</v>
      </c>
      <c r="C89" s="106" t="s">
        <v>917</v>
      </c>
      <c r="D89" s="106" t="s">
        <v>890</v>
      </c>
      <c r="E89" s="106" t="s">
        <v>283</v>
      </c>
      <c r="F89" s="106" t="s">
        <v>129</v>
      </c>
      <c r="G89" s="106" t="s">
        <v>981</v>
      </c>
      <c r="H89" s="106" t="s">
        <v>60</v>
      </c>
      <c r="I89" s="106" t="s">
        <v>116</v>
      </c>
      <c r="J89" s="106">
        <v>15</v>
      </c>
      <c r="K89" s="106" t="b">
        <v>1</v>
      </c>
      <c r="L89" s="115" t="s">
        <v>999</v>
      </c>
      <c r="M89" s="106" t="b">
        <v>1</v>
      </c>
      <c r="N89" s="106"/>
      <c r="O89" s="115" t="s">
        <v>960</v>
      </c>
      <c r="P89" s="106"/>
      <c r="Q89" s="115" t="b">
        <v>1</v>
      </c>
      <c r="R89" s="106"/>
      <c r="S89" s="106">
        <v>24</v>
      </c>
      <c r="T89" s="106"/>
      <c r="U89" s="106"/>
      <c r="V89" s="115" t="s">
        <v>418</v>
      </c>
    </row>
    <row r="90" spans="2:22">
      <c r="B90" s="106" t="str">
        <f t="shared" si="3"/>
        <v>UISection2Component.CIMSCT_WF_Section_List.CIMComp_WorkflowMessage</v>
      </c>
      <c r="C90" s="106" t="s">
        <v>917</v>
      </c>
      <c r="D90" s="106" t="s">
        <v>890</v>
      </c>
      <c r="E90" s="106" t="s">
        <v>283</v>
      </c>
      <c r="F90" s="106" t="s">
        <v>129</v>
      </c>
      <c r="G90" s="106" t="s">
        <v>1000</v>
      </c>
      <c r="H90" s="106" t="s">
        <v>610</v>
      </c>
      <c r="I90" s="106" t="s">
        <v>116</v>
      </c>
      <c r="J90" s="106">
        <v>16</v>
      </c>
      <c r="K90" s="106" t="b">
        <v>1</v>
      </c>
      <c r="L90" s="106"/>
      <c r="M90" s="106" t="b">
        <v>1</v>
      </c>
      <c r="N90" s="106"/>
      <c r="O90" s="115" t="s">
        <v>960</v>
      </c>
      <c r="P90" s="106"/>
      <c r="Q90" s="115" t="b">
        <v>1</v>
      </c>
      <c r="R90" s="106"/>
      <c r="S90" s="106">
        <v>24</v>
      </c>
      <c r="T90" s="106"/>
      <c r="U90" s="106"/>
      <c r="V90" s="106" t="s">
        <v>418</v>
      </c>
    </row>
    <row r="91" spans="2:22">
      <c r="B91" s="106" t="str">
        <f t="shared" si="3"/>
        <v>UISection2Component.CIMSCT_WF_Section_List.CIMComp_WorkflowRemark</v>
      </c>
      <c r="C91" s="106" t="s">
        <v>917</v>
      </c>
      <c r="D91" s="106" t="s">
        <v>890</v>
      </c>
      <c r="E91" s="106" t="s">
        <v>283</v>
      </c>
      <c r="F91" s="106" t="s">
        <v>129</v>
      </c>
      <c r="G91" s="106" t="s">
        <v>1001</v>
      </c>
      <c r="H91" s="106" t="s">
        <v>612</v>
      </c>
      <c r="I91" s="106" t="s">
        <v>116</v>
      </c>
      <c r="J91" s="106">
        <v>17</v>
      </c>
      <c r="K91" s="106" t="b">
        <v>1</v>
      </c>
      <c r="L91" s="106"/>
      <c r="M91" s="106" t="b">
        <v>1</v>
      </c>
      <c r="N91" s="106"/>
      <c r="O91" s="115" t="s">
        <v>960</v>
      </c>
      <c r="P91" s="106"/>
      <c r="Q91" s="115" t="b">
        <v>1</v>
      </c>
      <c r="R91" s="106"/>
      <c r="S91" s="106">
        <v>24</v>
      </c>
      <c r="T91" s="106"/>
      <c r="U91" s="106"/>
      <c r="V91" s="106" t="s">
        <v>418</v>
      </c>
    </row>
    <row r="92" spans="2:22">
      <c r="B92" s="106" t="str">
        <f t="shared" si="3"/>
        <v>UISection2Component.CIMSCT_WF_Section_List.CIMComp_WorkflowErrorMsg</v>
      </c>
      <c r="C92" s="106" t="s">
        <v>917</v>
      </c>
      <c r="D92" s="106" t="s">
        <v>890</v>
      </c>
      <c r="E92" s="106" t="s">
        <v>283</v>
      </c>
      <c r="F92" s="106" t="s">
        <v>129</v>
      </c>
      <c r="G92" s="106" t="s">
        <v>1002</v>
      </c>
      <c r="H92" s="106" t="s">
        <v>614</v>
      </c>
      <c r="I92" s="106" t="s">
        <v>116</v>
      </c>
      <c r="J92" s="106">
        <v>18</v>
      </c>
      <c r="K92" s="106" t="b">
        <v>1</v>
      </c>
      <c r="L92" s="106"/>
      <c r="M92" s="106" t="b">
        <v>1</v>
      </c>
      <c r="N92" s="106"/>
      <c r="O92" s="115" t="s">
        <v>960</v>
      </c>
      <c r="P92" s="106"/>
      <c r="Q92" s="115" t="b">
        <v>1</v>
      </c>
      <c r="R92" s="106"/>
      <c r="S92" s="106">
        <v>24</v>
      </c>
      <c r="T92" s="106"/>
      <c r="U92" s="106"/>
      <c r="V92" s="106" t="s">
        <v>418</v>
      </c>
    </row>
    <row r="93" spans="2:22">
      <c r="B93" s="106" t="str">
        <f t="shared" ref="B93:B99" si="4">F93&amp;"."&amp;C93&amp;"."&amp;G93</f>
        <v>UISection2Component.CIMSCT_WF_Section_List.CIMComp_WorkflowDetailStatus</v>
      </c>
      <c r="C93" s="106" t="s">
        <v>917</v>
      </c>
      <c r="D93" s="106" t="s">
        <v>890</v>
      </c>
      <c r="E93" s="106" t="s">
        <v>283</v>
      </c>
      <c r="F93" s="106" t="s">
        <v>129</v>
      </c>
      <c r="G93" s="106" t="s">
        <v>1003</v>
      </c>
      <c r="H93" s="106" t="s">
        <v>616</v>
      </c>
      <c r="I93" s="106" t="s">
        <v>116</v>
      </c>
      <c r="J93" s="106">
        <v>19</v>
      </c>
      <c r="K93" s="106" t="b">
        <v>1</v>
      </c>
      <c r="L93" s="106"/>
      <c r="M93" s="106" t="b">
        <v>1</v>
      </c>
      <c r="N93" s="106"/>
      <c r="O93" s="115" t="s">
        <v>960</v>
      </c>
      <c r="P93" s="106"/>
      <c r="Q93" s="115" t="b">
        <v>1</v>
      </c>
      <c r="R93" s="106"/>
      <c r="S93" s="106">
        <v>24</v>
      </c>
      <c r="T93" s="106"/>
      <c r="U93" s="106"/>
      <c r="V93" s="106" t="s">
        <v>418</v>
      </c>
    </row>
    <row r="94" spans="2:22">
      <c r="B94" s="106" t="str">
        <f t="shared" si="4"/>
        <v>UISection2Component.CIMSCT_WF_Section_List.CIMComp_WorkflowOnHoldInd</v>
      </c>
      <c r="C94" s="106" t="s">
        <v>917</v>
      </c>
      <c r="D94" s="106" t="s">
        <v>890</v>
      </c>
      <c r="E94" s="106" t="s">
        <v>283</v>
      </c>
      <c r="F94" s="106" t="s">
        <v>129</v>
      </c>
      <c r="G94" s="106" t="s">
        <v>1004</v>
      </c>
      <c r="H94" s="106" t="s">
        <v>635</v>
      </c>
      <c r="I94" s="106" t="s">
        <v>116</v>
      </c>
      <c r="J94" s="106">
        <v>20</v>
      </c>
      <c r="K94" s="106" t="b">
        <v>1</v>
      </c>
      <c r="L94" s="106"/>
      <c r="M94" s="106" t="b">
        <v>1</v>
      </c>
      <c r="N94" s="106"/>
      <c r="O94" s="115" t="s">
        <v>960</v>
      </c>
      <c r="P94" s="106"/>
      <c r="Q94" s="115" t="b">
        <v>1</v>
      </c>
      <c r="R94" s="106"/>
      <c r="S94" s="106">
        <v>24</v>
      </c>
      <c r="T94" s="106"/>
      <c r="U94" s="106"/>
      <c r="V94" s="106" t="s">
        <v>418</v>
      </c>
    </row>
    <row r="95" spans="2:22">
      <c r="B95" s="106" t="str">
        <f t="shared" si="4"/>
        <v>UISection2Component.CIMSCT_WF_Section_List.CIMComp_WorkflowImportance</v>
      </c>
      <c r="C95" s="106" t="s">
        <v>917</v>
      </c>
      <c r="D95" s="106" t="s">
        <v>890</v>
      </c>
      <c r="E95" s="106" t="s">
        <v>283</v>
      </c>
      <c r="F95" s="106" t="s">
        <v>129</v>
      </c>
      <c r="G95" s="106" t="s">
        <v>963</v>
      </c>
      <c r="H95" s="106" t="s">
        <v>389</v>
      </c>
      <c r="I95" s="106" t="s">
        <v>116</v>
      </c>
      <c r="J95" s="106">
        <v>21</v>
      </c>
      <c r="K95" s="106" t="b">
        <v>1</v>
      </c>
      <c r="L95" s="106"/>
      <c r="M95" s="106" t="b">
        <v>1</v>
      </c>
      <c r="N95" s="106"/>
      <c r="O95" s="115" t="s">
        <v>960</v>
      </c>
      <c r="P95" s="106"/>
      <c r="Q95" s="115" t="b">
        <v>1</v>
      </c>
      <c r="R95" s="106"/>
      <c r="S95" s="106">
        <v>24</v>
      </c>
      <c r="T95" s="106"/>
      <c r="U95" s="106"/>
      <c r="V95" s="106" t="s">
        <v>418</v>
      </c>
    </row>
    <row r="96" spans="2:22">
      <c r="B96" s="106" t="str">
        <f t="shared" si="4"/>
        <v>UISection2Component.CIMSCT_WF_Section_List.CIMComp_WorkflowPercentage</v>
      </c>
      <c r="C96" s="106" t="s">
        <v>917</v>
      </c>
      <c r="D96" s="106" t="s">
        <v>890</v>
      </c>
      <c r="E96" s="106" t="s">
        <v>283</v>
      </c>
      <c r="F96" s="106" t="s">
        <v>129</v>
      </c>
      <c r="G96" s="106" t="s">
        <v>1005</v>
      </c>
      <c r="H96" s="106" t="s">
        <v>643</v>
      </c>
      <c r="I96" s="106" t="s">
        <v>116</v>
      </c>
      <c r="J96" s="106">
        <v>22</v>
      </c>
      <c r="K96" s="106" t="b">
        <v>1</v>
      </c>
      <c r="L96" s="106"/>
      <c r="M96" s="106" t="b">
        <v>1</v>
      </c>
      <c r="N96" s="106"/>
      <c r="O96" s="115" t="s">
        <v>960</v>
      </c>
      <c r="P96" s="106"/>
      <c r="Q96" s="115" t="b">
        <v>1</v>
      </c>
      <c r="R96" s="106"/>
      <c r="S96" s="106">
        <v>24</v>
      </c>
      <c r="T96" s="106"/>
      <c r="U96" s="106"/>
      <c r="V96" s="106" t="s">
        <v>418</v>
      </c>
    </row>
    <row r="97" spans="2:22">
      <c r="B97" s="106" t="str">
        <f t="shared" si="4"/>
        <v>UISection2Component.CIMSCT_WF_Section_List.CIMComp_WorkflowPartGroupInd</v>
      </c>
      <c r="C97" s="106" t="s">
        <v>917</v>
      </c>
      <c r="D97" s="106" t="s">
        <v>890</v>
      </c>
      <c r="E97" s="106" t="s">
        <v>283</v>
      </c>
      <c r="F97" s="106" t="s">
        <v>129</v>
      </c>
      <c r="G97" s="106" t="s">
        <v>1006</v>
      </c>
      <c r="H97" s="106" t="s">
        <v>657</v>
      </c>
      <c r="I97" s="106" t="s">
        <v>116</v>
      </c>
      <c r="J97" s="106">
        <v>23</v>
      </c>
      <c r="K97" s="106" t="b">
        <v>1</v>
      </c>
      <c r="L97" s="106"/>
      <c r="M97" s="106" t="b">
        <v>1</v>
      </c>
      <c r="N97" s="106"/>
      <c r="O97" s="115" t="s">
        <v>960</v>
      </c>
      <c r="P97" s="106"/>
      <c r="Q97" s="115" t="b">
        <v>1</v>
      </c>
      <c r="R97" s="106"/>
      <c r="S97" s="106">
        <v>24</v>
      </c>
      <c r="T97" s="106"/>
      <c r="U97" s="106"/>
      <c r="V97" s="106" t="s">
        <v>418</v>
      </c>
    </row>
    <row r="98" spans="2:22">
      <c r="B98" s="125" t="str">
        <f t="shared" si="4"/>
        <v>UISection2Component.CIMSCT_WF_Section_Detail.CIMComp_name</v>
      </c>
      <c r="C98" s="125" t="s">
        <v>918</v>
      </c>
      <c r="D98" s="125" t="s">
        <v>892</v>
      </c>
      <c r="E98" s="125" t="s">
        <v>283</v>
      </c>
      <c r="F98" s="125" t="s">
        <v>129</v>
      </c>
      <c r="G98" s="125" t="s">
        <v>967</v>
      </c>
      <c r="H98" s="125" t="s">
        <v>46</v>
      </c>
      <c r="I98" s="125" t="s">
        <v>116</v>
      </c>
      <c r="J98" s="125">
        <v>10</v>
      </c>
      <c r="K98" s="125" t="b">
        <v>1</v>
      </c>
      <c r="L98" s="125"/>
      <c r="M98" s="125" t="b">
        <v>1</v>
      </c>
      <c r="N98" s="125"/>
      <c r="O98" s="126" t="s">
        <v>960</v>
      </c>
      <c r="P98" s="125"/>
      <c r="Q98" s="126" t="b">
        <v>1</v>
      </c>
      <c r="R98" s="125"/>
      <c r="S98" s="125">
        <v>24</v>
      </c>
      <c r="T98" s="125"/>
      <c r="U98" s="125"/>
      <c r="V98" s="125" t="s">
        <v>418</v>
      </c>
    </row>
    <row r="99" spans="2:22">
      <c r="B99" s="125" t="str">
        <f t="shared" si="4"/>
        <v>UISection2Component.CIMSCT_WF_Section_Detail.CIMComp_description</v>
      </c>
      <c r="C99" s="125" t="s">
        <v>918</v>
      </c>
      <c r="D99" s="125" t="s">
        <v>892</v>
      </c>
      <c r="E99" s="125" t="s">
        <v>283</v>
      </c>
      <c r="F99" s="125" t="s">
        <v>129</v>
      </c>
      <c r="G99" s="125" t="s">
        <v>969</v>
      </c>
      <c r="H99" s="125" t="s">
        <v>50</v>
      </c>
      <c r="I99" s="125" t="s">
        <v>116</v>
      </c>
      <c r="J99" s="125">
        <v>11</v>
      </c>
      <c r="K99" s="125" t="b">
        <v>1</v>
      </c>
      <c r="L99" s="125"/>
      <c r="M99" s="125" t="b">
        <v>1</v>
      </c>
      <c r="N99" s="125"/>
      <c r="O99" s="126" t="s">
        <v>960</v>
      </c>
      <c r="P99" s="125"/>
      <c r="Q99" s="126" t="b">
        <v>1</v>
      </c>
      <c r="R99" s="125"/>
      <c r="S99" s="125">
        <v>24</v>
      </c>
      <c r="T99" s="125"/>
      <c r="U99" s="125"/>
      <c r="V99" s="125" t="s">
        <v>418</v>
      </c>
    </row>
    <row r="100" spans="2:22">
      <c r="B100" s="125" t="str">
        <f t="shared" ref="B100:B111" si="5">F100&amp;"."&amp;C100&amp;"."&amp;G100</f>
        <v>UISection2Component.CIMSCT_WF_Section_Detail.CIMComp_WorkflowRev</v>
      </c>
      <c r="C100" s="125" t="s">
        <v>918</v>
      </c>
      <c r="D100" s="125" t="s">
        <v>892</v>
      </c>
      <c r="E100" s="125" t="s">
        <v>283</v>
      </c>
      <c r="F100" s="125" t="s">
        <v>129</v>
      </c>
      <c r="G100" s="125" t="s">
        <v>996</v>
      </c>
      <c r="H100" s="125" t="s">
        <v>637</v>
      </c>
      <c r="I100" s="125" t="s">
        <v>116</v>
      </c>
      <c r="J100" s="125">
        <v>12</v>
      </c>
      <c r="K100" s="125" t="b">
        <v>1</v>
      </c>
      <c r="L100" s="125"/>
      <c r="M100" s="125" t="b">
        <v>1</v>
      </c>
      <c r="N100" s="125"/>
      <c r="O100" s="126" t="s">
        <v>960</v>
      </c>
      <c r="P100" s="125"/>
      <c r="Q100" s="126" t="b">
        <v>1</v>
      </c>
      <c r="R100" s="125"/>
      <c r="S100" s="125">
        <v>24</v>
      </c>
      <c r="T100" s="125"/>
      <c r="U100" s="125"/>
      <c r="V100" s="125" t="s">
        <v>418</v>
      </c>
    </row>
    <row r="101" spans="2:22">
      <c r="B101" s="125" t="str">
        <f t="shared" si="5"/>
        <v>UISection2Component.CIMSCT_WF_Section_Detail.CIMComp_WorkflowStatus</v>
      </c>
      <c r="C101" s="125" t="s">
        <v>918</v>
      </c>
      <c r="D101" s="125" t="s">
        <v>892</v>
      </c>
      <c r="E101" s="125" t="s">
        <v>283</v>
      </c>
      <c r="F101" s="125" t="s">
        <v>129</v>
      </c>
      <c r="G101" s="125" t="s">
        <v>997</v>
      </c>
      <c r="H101" s="125" t="s">
        <v>467</v>
      </c>
      <c r="I101" s="125" t="s">
        <v>116</v>
      </c>
      <c r="J101" s="125">
        <v>13</v>
      </c>
      <c r="K101" s="125" t="b">
        <v>1</v>
      </c>
      <c r="L101" s="125"/>
      <c r="M101" s="125" t="b">
        <v>1</v>
      </c>
      <c r="N101" s="125"/>
      <c r="O101" s="126" t="s">
        <v>960</v>
      </c>
      <c r="P101" s="125"/>
      <c r="Q101" s="126" t="b">
        <v>1</v>
      </c>
      <c r="R101" s="125"/>
      <c r="S101" s="125">
        <v>24</v>
      </c>
      <c r="T101" s="125"/>
      <c r="U101" s="125"/>
      <c r="V101" s="125" t="s">
        <v>418</v>
      </c>
    </row>
    <row r="102" spans="2:22">
      <c r="B102" s="125" t="str">
        <f t="shared" si="5"/>
        <v>UISection2Component.CIMSCT_WF_Section_Detail.CIMComp_creationUser</v>
      </c>
      <c r="C102" s="125" t="s">
        <v>918</v>
      </c>
      <c r="D102" s="125" t="s">
        <v>892</v>
      </c>
      <c r="E102" s="125" t="s">
        <v>283</v>
      </c>
      <c r="F102" s="125" t="s">
        <v>129</v>
      </c>
      <c r="G102" s="125" t="s">
        <v>979</v>
      </c>
      <c r="H102" s="125" t="s">
        <v>59</v>
      </c>
      <c r="I102" s="125" t="s">
        <v>116</v>
      </c>
      <c r="J102" s="125">
        <v>14</v>
      </c>
      <c r="K102" s="125" t="b">
        <v>1</v>
      </c>
      <c r="L102" s="126" t="s">
        <v>998</v>
      </c>
      <c r="M102" s="125" t="b">
        <v>1</v>
      </c>
      <c r="N102" s="125"/>
      <c r="O102" s="126" t="s">
        <v>960</v>
      </c>
      <c r="P102" s="125"/>
      <c r="Q102" s="126" t="b">
        <v>1</v>
      </c>
      <c r="R102" s="125"/>
      <c r="S102" s="125">
        <v>24</v>
      </c>
      <c r="T102" s="125"/>
      <c r="U102" s="125"/>
      <c r="V102" s="125" t="s">
        <v>418</v>
      </c>
    </row>
    <row r="103" spans="2:22">
      <c r="B103" s="125" t="str">
        <f t="shared" si="5"/>
        <v>UISection2Component.CIMSCT_WF_Section_Detail.CIMComp_creationDate</v>
      </c>
      <c r="C103" s="125" t="s">
        <v>918</v>
      </c>
      <c r="D103" s="125" t="s">
        <v>892</v>
      </c>
      <c r="E103" s="125" t="s">
        <v>283</v>
      </c>
      <c r="F103" s="125" t="s">
        <v>129</v>
      </c>
      <c r="G103" s="125" t="s">
        <v>981</v>
      </c>
      <c r="H103" s="125" t="s">
        <v>60</v>
      </c>
      <c r="I103" s="125" t="s">
        <v>116</v>
      </c>
      <c r="J103" s="125">
        <v>15</v>
      </c>
      <c r="K103" s="125" t="b">
        <v>1</v>
      </c>
      <c r="L103" s="126" t="s">
        <v>999</v>
      </c>
      <c r="M103" s="125" t="b">
        <v>1</v>
      </c>
      <c r="N103" s="125"/>
      <c r="O103" s="126" t="s">
        <v>960</v>
      </c>
      <c r="P103" s="125"/>
      <c r="Q103" s="126" t="b">
        <v>1</v>
      </c>
      <c r="R103" s="125"/>
      <c r="S103" s="125">
        <v>24</v>
      </c>
      <c r="T103" s="125"/>
      <c r="U103" s="125"/>
      <c r="V103" s="125" t="s">
        <v>418</v>
      </c>
    </row>
    <row r="104" spans="2:22">
      <c r="B104" s="125" t="str">
        <f t="shared" si="5"/>
        <v>UISection2Component.CIMSCT_WF_Section_Detail.CIMComp_WorkflowMessage</v>
      </c>
      <c r="C104" s="125" t="s">
        <v>918</v>
      </c>
      <c r="D104" s="125" t="s">
        <v>892</v>
      </c>
      <c r="E104" s="125" t="s">
        <v>283</v>
      </c>
      <c r="F104" s="125" t="s">
        <v>129</v>
      </c>
      <c r="G104" s="125" t="s">
        <v>1000</v>
      </c>
      <c r="H104" s="125" t="s">
        <v>610</v>
      </c>
      <c r="I104" s="125" t="s">
        <v>116</v>
      </c>
      <c r="J104" s="125">
        <v>16</v>
      </c>
      <c r="K104" s="125" t="b">
        <v>1</v>
      </c>
      <c r="L104" s="125"/>
      <c r="M104" s="125" t="b">
        <v>1</v>
      </c>
      <c r="N104" s="125"/>
      <c r="O104" s="126" t="s">
        <v>960</v>
      </c>
      <c r="P104" s="125"/>
      <c r="Q104" s="126" t="b">
        <v>1</v>
      </c>
      <c r="R104" s="125"/>
      <c r="S104" s="125">
        <v>24</v>
      </c>
      <c r="T104" s="125"/>
      <c r="U104" s="125"/>
      <c r="V104" s="125" t="s">
        <v>418</v>
      </c>
    </row>
    <row r="105" spans="2:22">
      <c r="B105" s="125" t="str">
        <f t="shared" si="5"/>
        <v>UISection2Component.CIMSCT_WF_Section_Detail.CIMComp_WorkflowRemark</v>
      </c>
      <c r="C105" s="125" t="s">
        <v>918</v>
      </c>
      <c r="D105" s="125" t="s">
        <v>892</v>
      </c>
      <c r="E105" s="125" t="s">
        <v>283</v>
      </c>
      <c r="F105" s="125" t="s">
        <v>129</v>
      </c>
      <c r="G105" s="125" t="s">
        <v>1001</v>
      </c>
      <c r="H105" s="125" t="s">
        <v>612</v>
      </c>
      <c r="I105" s="125" t="s">
        <v>116</v>
      </c>
      <c r="J105" s="125">
        <v>17</v>
      </c>
      <c r="K105" s="125" t="b">
        <v>1</v>
      </c>
      <c r="L105" s="125"/>
      <c r="M105" s="125" t="b">
        <v>1</v>
      </c>
      <c r="N105" s="125"/>
      <c r="O105" s="126" t="s">
        <v>960</v>
      </c>
      <c r="P105" s="125"/>
      <c r="Q105" s="126" t="b">
        <v>1</v>
      </c>
      <c r="R105" s="125"/>
      <c r="S105" s="125">
        <v>24</v>
      </c>
      <c r="T105" s="125"/>
      <c r="U105" s="125"/>
      <c r="V105" s="125" t="s">
        <v>418</v>
      </c>
    </row>
    <row r="106" spans="2:22">
      <c r="B106" s="125" t="str">
        <f t="shared" si="5"/>
        <v>UISection2Component.CIMSCT_WF_Section_Detail.CIMComp_WorkflowErrorMsg</v>
      </c>
      <c r="C106" s="125" t="s">
        <v>918</v>
      </c>
      <c r="D106" s="125" t="s">
        <v>892</v>
      </c>
      <c r="E106" s="125" t="s">
        <v>283</v>
      </c>
      <c r="F106" s="125" t="s">
        <v>129</v>
      </c>
      <c r="G106" s="125" t="s">
        <v>1002</v>
      </c>
      <c r="H106" s="125" t="s">
        <v>614</v>
      </c>
      <c r="I106" s="125" t="s">
        <v>116</v>
      </c>
      <c r="J106" s="125">
        <v>18</v>
      </c>
      <c r="K106" s="125" t="b">
        <v>1</v>
      </c>
      <c r="L106" s="125"/>
      <c r="M106" s="125" t="b">
        <v>1</v>
      </c>
      <c r="N106" s="125"/>
      <c r="O106" s="126" t="s">
        <v>960</v>
      </c>
      <c r="P106" s="125"/>
      <c r="Q106" s="126" t="b">
        <v>1</v>
      </c>
      <c r="R106" s="125"/>
      <c r="S106" s="125">
        <v>24</v>
      </c>
      <c r="T106" s="125"/>
      <c r="U106" s="125"/>
      <c r="V106" s="125" t="s">
        <v>418</v>
      </c>
    </row>
    <row r="107" spans="2:22">
      <c r="B107" s="125" t="str">
        <f t="shared" si="5"/>
        <v>UISection2Component.CIMSCT_WF_Section_Detail.CIMComp_WorkflowDetailStatus</v>
      </c>
      <c r="C107" s="125" t="s">
        <v>918</v>
      </c>
      <c r="D107" s="125" t="s">
        <v>892</v>
      </c>
      <c r="E107" s="125" t="s">
        <v>283</v>
      </c>
      <c r="F107" s="125" t="s">
        <v>129</v>
      </c>
      <c r="G107" s="125" t="s">
        <v>1003</v>
      </c>
      <c r="H107" s="125" t="s">
        <v>616</v>
      </c>
      <c r="I107" s="125" t="s">
        <v>116</v>
      </c>
      <c r="J107" s="125">
        <v>19</v>
      </c>
      <c r="K107" s="125" t="b">
        <v>1</v>
      </c>
      <c r="L107" s="125"/>
      <c r="M107" s="125" t="b">
        <v>1</v>
      </c>
      <c r="N107" s="125"/>
      <c r="O107" s="126" t="s">
        <v>960</v>
      </c>
      <c r="P107" s="125"/>
      <c r="Q107" s="126" t="b">
        <v>1</v>
      </c>
      <c r="R107" s="125"/>
      <c r="S107" s="125">
        <v>24</v>
      </c>
      <c r="T107" s="125"/>
      <c r="U107" s="125"/>
      <c r="V107" s="125" t="s">
        <v>418</v>
      </c>
    </row>
    <row r="108" spans="2:22">
      <c r="B108" s="125" t="str">
        <f t="shared" si="5"/>
        <v>UISection2Component.CIMSCT_WF_Section_Detail.CIMComp_WorkflowOnHoldInd</v>
      </c>
      <c r="C108" s="125" t="s">
        <v>918</v>
      </c>
      <c r="D108" s="125" t="s">
        <v>892</v>
      </c>
      <c r="E108" s="125" t="s">
        <v>283</v>
      </c>
      <c r="F108" s="125" t="s">
        <v>129</v>
      </c>
      <c r="G108" s="125" t="s">
        <v>1004</v>
      </c>
      <c r="H108" s="125" t="s">
        <v>635</v>
      </c>
      <c r="I108" s="125" t="s">
        <v>116</v>
      </c>
      <c r="J108" s="125">
        <v>20</v>
      </c>
      <c r="K108" s="125" t="b">
        <v>1</v>
      </c>
      <c r="L108" s="125"/>
      <c r="M108" s="125" t="b">
        <v>1</v>
      </c>
      <c r="N108" s="125"/>
      <c r="O108" s="126" t="s">
        <v>960</v>
      </c>
      <c r="P108" s="125"/>
      <c r="Q108" s="126" t="b">
        <v>1</v>
      </c>
      <c r="R108" s="125"/>
      <c r="S108" s="125">
        <v>24</v>
      </c>
      <c r="T108" s="125"/>
      <c r="U108" s="125"/>
      <c r="V108" s="125" t="s">
        <v>418</v>
      </c>
    </row>
    <row r="109" spans="2:22">
      <c r="B109" s="125" t="str">
        <f t="shared" si="5"/>
        <v>UISection2Component.CIMSCT_WF_Section_Detail.CIMComp_WorkflowImportance</v>
      </c>
      <c r="C109" s="125" t="s">
        <v>918</v>
      </c>
      <c r="D109" s="125" t="s">
        <v>892</v>
      </c>
      <c r="E109" s="125" t="s">
        <v>283</v>
      </c>
      <c r="F109" s="125" t="s">
        <v>129</v>
      </c>
      <c r="G109" s="125" t="s">
        <v>963</v>
      </c>
      <c r="H109" s="125" t="s">
        <v>389</v>
      </c>
      <c r="I109" s="125" t="s">
        <v>116</v>
      </c>
      <c r="J109" s="125">
        <v>21</v>
      </c>
      <c r="K109" s="125" t="b">
        <v>1</v>
      </c>
      <c r="L109" s="125"/>
      <c r="M109" s="125" t="b">
        <v>1</v>
      </c>
      <c r="N109" s="125"/>
      <c r="O109" s="126" t="s">
        <v>960</v>
      </c>
      <c r="P109" s="125"/>
      <c r="Q109" s="126" t="b">
        <v>1</v>
      </c>
      <c r="R109" s="125"/>
      <c r="S109" s="125">
        <v>24</v>
      </c>
      <c r="T109" s="125"/>
      <c r="U109" s="125"/>
      <c r="V109" s="125" t="s">
        <v>418</v>
      </c>
    </row>
    <row r="110" spans="2:22">
      <c r="B110" s="125" t="str">
        <f t="shared" si="5"/>
        <v>UISection2Component.CIMSCT_WF_Section_Detail.CIMComp_WorkflowPercentage</v>
      </c>
      <c r="C110" s="125" t="s">
        <v>918</v>
      </c>
      <c r="D110" s="125" t="s">
        <v>892</v>
      </c>
      <c r="E110" s="125" t="s">
        <v>283</v>
      </c>
      <c r="F110" s="125" t="s">
        <v>129</v>
      </c>
      <c r="G110" s="125" t="s">
        <v>1005</v>
      </c>
      <c r="H110" s="125" t="s">
        <v>643</v>
      </c>
      <c r="I110" s="125" t="s">
        <v>116</v>
      </c>
      <c r="J110" s="125">
        <v>22</v>
      </c>
      <c r="K110" s="125" t="b">
        <v>1</v>
      </c>
      <c r="L110" s="125"/>
      <c r="M110" s="125" t="b">
        <v>1</v>
      </c>
      <c r="N110" s="125"/>
      <c r="O110" s="126" t="s">
        <v>960</v>
      </c>
      <c r="P110" s="125"/>
      <c r="Q110" s="126" t="b">
        <v>1</v>
      </c>
      <c r="R110" s="125"/>
      <c r="S110" s="125">
        <v>24</v>
      </c>
      <c r="T110" s="125"/>
      <c r="U110" s="125"/>
      <c r="V110" s="125" t="s">
        <v>418</v>
      </c>
    </row>
    <row r="111" spans="2:22">
      <c r="B111" s="125" t="str">
        <f t="shared" si="5"/>
        <v>UISection2Component.CIMSCT_WF_Section_Detail.CIMComp_WorkflowPartGroupInd</v>
      </c>
      <c r="C111" s="125" t="s">
        <v>918</v>
      </c>
      <c r="D111" s="125" t="s">
        <v>892</v>
      </c>
      <c r="E111" s="125" t="s">
        <v>283</v>
      </c>
      <c r="F111" s="125" t="s">
        <v>129</v>
      </c>
      <c r="G111" s="125" t="s">
        <v>1006</v>
      </c>
      <c r="H111" s="125" t="s">
        <v>657</v>
      </c>
      <c r="I111" s="125" t="s">
        <v>116</v>
      </c>
      <c r="J111" s="125">
        <v>23</v>
      </c>
      <c r="K111" s="125" t="b">
        <v>1</v>
      </c>
      <c r="L111" s="125"/>
      <c r="M111" s="125" t="b">
        <v>1</v>
      </c>
      <c r="N111" s="125"/>
      <c r="O111" s="126" t="s">
        <v>960</v>
      </c>
      <c r="P111" s="125"/>
      <c r="Q111" s="126" t="b">
        <v>1</v>
      </c>
      <c r="R111" s="125"/>
      <c r="S111" s="125">
        <v>24</v>
      </c>
      <c r="T111" s="125"/>
      <c r="U111" s="125"/>
      <c r="V111" s="125" t="s">
        <v>418</v>
      </c>
    </row>
  </sheetData>
  <sheetProtection formatCells="0" insertHyperlinks="0" autoFilter="0"/>
  <mergeCells count="1">
    <mergeCell ref="A1:D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25"/>
  <sheetViews>
    <sheetView workbookViewId="0">
      <selection activeCell="G21" sqref="G21:H21"/>
    </sheetView>
  </sheetViews>
  <sheetFormatPr defaultColWidth="9" defaultRowHeight="12"/>
  <cols>
    <col min="1" max="1" width="9.5703125" style="80" customWidth="1"/>
    <col min="2" max="2" width="17.42578125" style="80" customWidth="1"/>
    <col min="3" max="3" width="12.85546875" style="80" customWidth="1"/>
    <col min="4" max="5" width="12.140625" style="80" customWidth="1"/>
    <col min="6" max="6" width="13.28515625" style="80" customWidth="1"/>
    <col min="7" max="7" width="29.140625" style="80" customWidth="1"/>
    <col min="8" max="8" width="13.28515625" style="80" customWidth="1"/>
    <col min="9" max="9" width="12.140625" style="80" customWidth="1"/>
    <col min="10" max="12" width="7.42578125" style="80" customWidth="1"/>
    <col min="13" max="13" width="13.5703125" style="80" customWidth="1"/>
    <col min="14" max="14" width="8.85546875" style="80" customWidth="1"/>
    <col min="15" max="16384" width="9" style="80"/>
  </cols>
  <sheetData>
    <row r="1" spans="1:14" ht="14.25">
      <c r="A1" s="328" t="s">
        <v>870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81"/>
    </row>
    <row r="2" spans="1:14">
      <c r="A2" s="82"/>
      <c r="B2" s="82"/>
      <c r="C2" s="83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</row>
    <row r="3" spans="1:14">
      <c r="A3" s="84" t="s">
        <v>1007</v>
      </c>
      <c r="B3" s="81" t="s">
        <v>43</v>
      </c>
      <c r="C3" s="85" t="s">
        <v>46</v>
      </c>
      <c r="D3" s="85" t="s">
        <v>50</v>
      </c>
      <c r="E3" s="85" t="s">
        <v>51</v>
      </c>
      <c r="F3" s="89" t="s">
        <v>373</v>
      </c>
      <c r="G3" s="89" t="s">
        <v>376</v>
      </c>
      <c r="H3" s="90" t="s">
        <v>378</v>
      </c>
      <c r="I3" s="90" t="s">
        <v>380</v>
      </c>
      <c r="J3" s="90" t="s">
        <v>382</v>
      </c>
      <c r="K3" s="90" t="s">
        <v>384</v>
      </c>
      <c r="L3" s="90" t="s">
        <v>386</v>
      </c>
      <c r="M3" s="85" t="s">
        <v>69</v>
      </c>
      <c r="N3" s="81" t="s">
        <v>48</v>
      </c>
    </row>
    <row r="4" spans="1:14">
      <c r="B4" s="80" t="str">
        <f t="shared" ref="B4:B12" si="0">"MTH_"&amp;C4</f>
        <v>MTH_approve</v>
      </c>
      <c r="C4" s="80" t="s">
        <v>1008</v>
      </c>
      <c r="D4" s="86" t="s">
        <v>1009</v>
      </c>
      <c r="E4" s="86" t="s">
        <v>1009</v>
      </c>
      <c r="F4" s="80" t="s">
        <v>1010</v>
      </c>
      <c r="H4" s="80" t="s">
        <v>1011</v>
      </c>
      <c r="I4" s="86" t="s">
        <v>1009</v>
      </c>
      <c r="J4" s="80" t="s">
        <v>1012</v>
      </c>
      <c r="M4" s="87" t="s">
        <v>417</v>
      </c>
      <c r="N4" s="87" t="s">
        <v>418</v>
      </c>
    </row>
    <row r="5" spans="1:14">
      <c r="B5" s="80" t="str">
        <f t="shared" si="0"/>
        <v>MTH_reject</v>
      </c>
      <c r="C5" s="80" t="s">
        <v>1013</v>
      </c>
      <c r="D5" s="86" t="s">
        <v>507</v>
      </c>
      <c r="E5" s="86" t="s">
        <v>507</v>
      </c>
      <c r="F5" s="80" t="s">
        <v>1010</v>
      </c>
      <c r="H5" s="80" t="s">
        <v>506</v>
      </c>
      <c r="I5" s="86" t="s">
        <v>507</v>
      </c>
      <c r="J5" s="80" t="s">
        <v>1014</v>
      </c>
      <c r="M5" s="87" t="s">
        <v>417</v>
      </c>
      <c r="N5" s="87" t="s">
        <v>418</v>
      </c>
    </row>
    <row r="6" spans="1:14">
      <c r="B6" s="80" t="str">
        <f t="shared" si="0"/>
        <v>MTH_report</v>
      </c>
      <c r="C6" s="87" t="s">
        <v>1015</v>
      </c>
      <c r="D6" s="88" t="s">
        <v>1016</v>
      </c>
      <c r="E6" s="88" t="s">
        <v>1016</v>
      </c>
      <c r="F6" s="87" t="s">
        <v>1017</v>
      </c>
      <c r="G6" s="87" t="s">
        <v>1018</v>
      </c>
      <c r="H6" s="87" t="s">
        <v>1019</v>
      </c>
      <c r="I6" s="88" t="s">
        <v>1016</v>
      </c>
      <c r="J6" s="87" t="s">
        <v>1020</v>
      </c>
      <c r="M6" s="87" t="s">
        <v>417</v>
      </c>
      <c r="N6" s="87" t="s">
        <v>418</v>
      </c>
    </row>
    <row r="7" spans="1:14">
      <c r="B7" s="80" t="str">
        <f t="shared" si="0"/>
        <v>MTH_claim</v>
      </c>
      <c r="C7" s="87" t="s">
        <v>1021</v>
      </c>
      <c r="D7" s="88" t="s">
        <v>1022</v>
      </c>
      <c r="E7" s="88" t="s">
        <v>1022</v>
      </c>
      <c r="F7" s="87" t="s">
        <v>1023</v>
      </c>
      <c r="G7" s="87"/>
      <c r="H7" s="87" t="s">
        <v>1023</v>
      </c>
      <c r="I7" s="88" t="s">
        <v>1022</v>
      </c>
      <c r="J7" s="87" t="s">
        <v>1024</v>
      </c>
      <c r="M7" s="87" t="s">
        <v>417</v>
      </c>
      <c r="N7" s="87" t="s">
        <v>418</v>
      </c>
    </row>
    <row r="8" spans="1:14">
      <c r="B8" s="80" t="str">
        <f t="shared" si="0"/>
        <v>MTH_reassign</v>
      </c>
      <c r="C8" s="87" t="s">
        <v>1025</v>
      </c>
      <c r="D8" s="87" t="s">
        <v>1026</v>
      </c>
      <c r="E8" s="87" t="s">
        <v>1026</v>
      </c>
      <c r="F8" s="87" t="s">
        <v>1027</v>
      </c>
      <c r="H8" s="87" t="s">
        <v>1027</v>
      </c>
      <c r="I8" s="87" t="s">
        <v>1026</v>
      </c>
      <c r="J8" s="87" t="s">
        <v>1024</v>
      </c>
      <c r="M8" s="87" t="s">
        <v>417</v>
      </c>
      <c r="N8" s="87" t="s">
        <v>418</v>
      </c>
    </row>
    <row r="9" spans="1:14">
      <c r="B9" s="80" t="str">
        <f t="shared" si="0"/>
        <v>MTH_acknowledge</v>
      </c>
      <c r="C9" s="87" t="s">
        <v>1028</v>
      </c>
      <c r="D9" s="87" t="s">
        <v>1029</v>
      </c>
      <c r="E9" s="87" t="s">
        <v>1029</v>
      </c>
      <c r="F9" s="87" t="s">
        <v>1030</v>
      </c>
      <c r="H9" s="87" t="s">
        <v>1030</v>
      </c>
      <c r="I9" s="87" t="s">
        <v>1029</v>
      </c>
      <c r="J9" s="87" t="s">
        <v>1024</v>
      </c>
      <c r="M9" s="87" t="s">
        <v>417</v>
      </c>
      <c r="N9" s="87" t="s">
        <v>418</v>
      </c>
    </row>
    <row r="10" spans="1:14">
      <c r="B10" s="80" t="str">
        <f t="shared" si="0"/>
        <v>MTH_holdOnWorkflow</v>
      </c>
      <c r="C10" s="87" t="s">
        <v>1031</v>
      </c>
      <c r="D10" s="87" t="s">
        <v>1032</v>
      </c>
      <c r="E10" s="87" t="s">
        <v>1032</v>
      </c>
      <c r="F10" s="87" t="s">
        <v>1033</v>
      </c>
      <c r="H10" s="87" t="s">
        <v>1033</v>
      </c>
      <c r="I10" s="87" t="s">
        <v>1032</v>
      </c>
      <c r="J10" s="80" t="s">
        <v>1014</v>
      </c>
      <c r="M10" s="87" t="s">
        <v>417</v>
      </c>
      <c r="N10" s="87" t="s">
        <v>418</v>
      </c>
    </row>
    <row r="11" spans="1:14">
      <c r="B11" s="80" t="str">
        <f t="shared" si="0"/>
        <v>MTH_revertWorkflow</v>
      </c>
      <c r="C11" s="87" t="s">
        <v>1034</v>
      </c>
      <c r="D11" s="87" t="s">
        <v>1035</v>
      </c>
      <c r="E11" s="87" t="s">
        <v>1035</v>
      </c>
      <c r="F11" s="87" t="s">
        <v>1036</v>
      </c>
      <c r="H11" s="87" t="s">
        <v>1036</v>
      </c>
      <c r="I11" s="87" t="s">
        <v>1037</v>
      </c>
      <c r="J11" s="80" t="s">
        <v>1012</v>
      </c>
      <c r="M11" s="87" t="s">
        <v>417</v>
      </c>
      <c r="N11" s="87" t="s">
        <v>418</v>
      </c>
    </row>
    <row r="12" spans="1:14">
      <c r="B12" s="80" t="str">
        <f t="shared" si="0"/>
        <v>MTH_attachWorkflow</v>
      </c>
      <c r="C12" s="87" t="s">
        <v>1038</v>
      </c>
      <c r="D12" s="87" t="s">
        <v>1039</v>
      </c>
      <c r="E12" s="87" t="s">
        <v>1029</v>
      </c>
      <c r="F12" s="87" t="s">
        <v>1040</v>
      </c>
      <c r="H12" s="87" t="s">
        <v>1040</v>
      </c>
      <c r="I12" s="87" t="s">
        <v>1039</v>
      </c>
      <c r="J12" s="87" t="s">
        <v>1024</v>
      </c>
      <c r="M12" s="87" t="s">
        <v>417</v>
      </c>
      <c r="N12" s="87" t="s">
        <v>418</v>
      </c>
    </row>
    <row r="19" spans="14:14">
      <c r="N19" s="91"/>
    </row>
    <row r="20" spans="14:14">
      <c r="N20" s="91"/>
    </row>
    <row r="21" spans="14:14">
      <c r="N21" s="91"/>
    </row>
    <row r="22" spans="14:14">
      <c r="N22" s="91"/>
    </row>
    <row r="23" spans="14:14">
      <c r="N23" s="91"/>
    </row>
    <row r="24" spans="14:14">
      <c r="N24" s="91"/>
    </row>
    <row r="25" spans="14:14">
      <c r="N25" s="91"/>
    </row>
  </sheetData>
  <sheetProtection formatCells="0" insertHyperlinks="0" autoFilter="0"/>
  <mergeCells count="1">
    <mergeCell ref="A1:M1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8"/>
  <sheetViews>
    <sheetView zoomScale="200" zoomScaleNormal="200" workbookViewId="0">
      <selection activeCell="C16" sqref="C16:D16"/>
    </sheetView>
  </sheetViews>
  <sheetFormatPr defaultColWidth="9" defaultRowHeight="15"/>
  <cols>
    <col min="1" max="1" width="9.42578125" customWidth="1"/>
    <col min="2" max="2" width="9.140625" customWidth="1"/>
    <col min="3" max="3" width="6.28515625" customWidth="1"/>
    <col min="4" max="4" width="17.7109375" customWidth="1"/>
    <col min="5" max="5" width="13.140625" customWidth="1"/>
    <col min="6" max="6" width="18.140625" customWidth="1"/>
    <col min="7" max="7" width="10.7109375" customWidth="1"/>
    <col min="8" max="8" width="24.85546875" customWidth="1"/>
  </cols>
  <sheetData>
    <row r="1" spans="1:8" ht="17.25">
      <c r="A1" s="331" t="s">
        <v>1041</v>
      </c>
      <c r="B1" s="332"/>
      <c r="C1" s="332"/>
      <c r="D1" s="332"/>
      <c r="E1" s="332"/>
      <c r="F1" s="332"/>
      <c r="G1" s="71"/>
    </row>
    <row r="2" spans="1:8">
      <c r="A2" s="72"/>
      <c r="B2" s="72"/>
      <c r="C2" s="73"/>
      <c r="D2" s="72"/>
      <c r="E2" s="72"/>
      <c r="F2" s="72"/>
      <c r="G2" s="72"/>
    </row>
    <row r="3" spans="1:8">
      <c r="A3" s="74" t="s">
        <v>1042</v>
      </c>
      <c r="B3" s="71" t="s">
        <v>43</v>
      </c>
      <c r="C3" s="75" t="s">
        <v>46</v>
      </c>
      <c r="D3" s="75" t="s">
        <v>50</v>
      </c>
      <c r="E3" s="75" t="s">
        <v>51</v>
      </c>
      <c r="F3" s="75" t="s">
        <v>69</v>
      </c>
      <c r="G3" s="71" t="s">
        <v>48</v>
      </c>
      <c r="H3" s="75" t="s">
        <v>410</v>
      </c>
    </row>
    <row r="4" spans="1:8" ht="15.75">
      <c r="A4" s="76"/>
      <c r="B4" s="76" t="str">
        <f t="shared" ref="B4:B8" si="0">"WSC_"&amp;C4</f>
        <v>WSC_P</v>
      </c>
      <c r="C4" s="76" t="s">
        <v>1043</v>
      </c>
      <c r="D4" s="76" t="s">
        <v>1044</v>
      </c>
      <c r="E4" s="78" t="s">
        <v>1045</v>
      </c>
      <c r="F4" s="77" t="s">
        <v>417</v>
      </c>
      <c r="G4" s="76" t="s">
        <v>418</v>
      </c>
      <c r="H4" s="76" t="s">
        <v>548</v>
      </c>
    </row>
    <row r="5" spans="1:8" ht="15.75">
      <c r="A5" s="76"/>
      <c r="B5" s="76" t="str">
        <f t="shared" si="0"/>
        <v>WSC_I</v>
      </c>
      <c r="C5" s="76" t="s">
        <v>1046</v>
      </c>
      <c r="D5" s="76" t="s">
        <v>1047</v>
      </c>
      <c r="E5" s="79" t="s">
        <v>1048</v>
      </c>
      <c r="F5" s="77" t="s">
        <v>417</v>
      </c>
      <c r="G5" s="76" t="s">
        <v>418</v>
      </c>
      <c r="H5" s="76" t="s">
        <v>548</v>
      </c>
    </row>
    <row r="6" spans="1:8" ht="15.75">
      <c r="A6" s="76"/>
      <c r="B6" s="76" t="str">
        <f t="shared" si="0"/>
        <v>WSC_W</v>
      </c>
      <c r="C6" s="76" t="s">
        <v>1049</v>
      </c>
      <c r="D6" s="76" t="s">
        <v>1050</v>
      </c>
      <c r="E6" s="79" t="s">
        <v>546</v>
      </c>
      <c r="F6" s="77" t="s">
        <v>417</v>
      </c>
      <c r="G6" s="76" t="s">
        <v>418</v>
      </c>
      <c r="H6" s="76" t="s">
        <v>545</v>
      </c>
    </row>
    <row r="7" spans="1:8" ht="15.75">
      <c r="B7" s="76" t="str">
        <f t="shared" si="0"/>
        <v>WSC_G</v>
      </c>
      <c r="C7" s="77" t="s">
        <v>1051</v>
      </c>
      <c r="D7" s="77" t="s">
        <v>1052</v>
      </c>
      <c r="E7" s="78" t="s">
        <v>1053</v>
      </c>
      <c r="F7" s="77" t="s">
        <v>417</v>
      </c>
      <c r="G7" s="76" t="s">
        <v>418</v>
      </c>
      <c r="H7" s="76" t="s">
        <v>548</v>
      </c>
    </row>
    <row r="8" spans="1:8" ht="15.75">
      <c r="A8" s="76"/>
      <c r="B8" s="76" t="str">
        <f t="shared" si="0"/>
        <v>WSC_A</v>
      </c>
      <c r="C8" s="76" t="s">
        <v>1054</v>
      </c>
      <c r="D8" s="76" t="s">
        <v>1028</v>
      </c>
      <c r="E8" s="78" t="s">
        <v>1055</v>
      </c>
      <c r="F8" s="77" t="s">
        <v>417</v>
      </c>
      <c r="G8" s="76" t="s">
        <v>418</v>
      </c>
      <c r="H8" s="76" t="s">
        <v>545</v>
      </c>
    </row>
  </sheetData>
  <sheetProtection formatCells="0" insertHyperlinks="0" autoFilter="0"/>
  <mergeCells count="1">
    <mergeCell ref="A1:F1"/>
  </mergeCells>
  <conditionalFormatting sqref="B2">
    <cfRule type="duplicateValues" dxfId="14" priority="3"/>
    <cfRule type="duplicateValues" dxfId="13" priority="2"/>
  </conditionalFormatting>
  <conditionalFormatting sqref="B3">
    <cfRule type="duplicateValues" dxfId="12" priority="1"/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31"/>
  <sheetViews>
    <sheetView zoomScale="145" zoomScaleNormal="145" workbookViewId="0">
      <selection activeCell="C24" sqref="C24:D24"/>
    </sheetView>
  </sheetViews>
  <sheetFormatPr defaultColWidth="9" defaultRowHeight="12.75"/>
  <cols>
    <col min="1" max="1" width="7.85546875" style="25" customWidth="1"/>
    <col min="2" max="2" width="50" style="25" customWidth="1"/>
    <col min="3" max="3" width="14.5703125" style="25" customWidth="1"/>
    <col min="4" max="4" width="15.42578125" style="25" customWidth="1"/>
    <col min="5" max="5" width="22.140625" style="25" customWidth="1"/>
    <col min="6" max="6" width="22.42578125" style="25" customWidth="1"/>
    <col min="7" max="7" width="22.140625" style="25" customWidth="1"/>
    <col min="8" max="8" width="16.5703125" style="25" customWidth="1"/>
    <col min="9" max="9" width="19.42578125" style="25" customWidth="1"/>
    <col min="10" max="10" width="13.140625" style="25" customWidth="1"/>
    <col min="11" max="11" width="14.85546875" style="25" customWidth="1"/>
    <col min="12" max="12" width="15.140625" style="25" customWidth="1"/>
    <col min="13" max="13" width="9.140625" style="25" customWidth="1"/>
    <col min="14" max="16384" width="9" style="25"/>
  </cols>
  <sheetData>
    <row r="1" spans="1:13" ht="16.5">
      <c r="A1" s="333" t="s">
        <v>1056</v>
      </c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</row>
    <row r="2" spans="1:13">
      <c r="A2" s="26"/>
      <c r="B2" s="26"/>
      <c r="C2" s="28"/>
      <c r="D2" s="26"/>
      <c r="E2" s="26"/>
      <c r="F2" s="26"/>
      <c r="G2" s="26"/>
      <c r="H2" s="26"/>
      <c r="I2" s="26"/>
      <c r="J2" s="26"/>
      <c r="K2" s="26"/>
      <c r="L2" s="26"/>
      <c r="M2" s="26"/>
    </row>
    <row r="3" spans="1:13">
      <c r="A3" s="65" t="s">
        <v>927</v>
      </c>
      <c r="B3" s="27" t="s">
        <v>43</v>
      </c>
      <c r="C3" s="66" t="s">
        <v>46</v>
      </c>
      <c r="D3" s="66" t="s">
        <v>50</v>
      </c>
      <c r="E3" s="66" t="s">
        <v>51</v>
      </c>
      <c r="F3" s="70" t="s">
        <v>1057</v>
      </c>
      <c r="G3" s="70" t="s">
        <v>405</v>
      </c>
      <c r="H3" s="70" t="s">
        <v>391</v>
      </c>
      <c r="I3" s="70" t="s">
        <v>394</v>
      </c>
      <c r="J3" s="70" t="s">
        <v>396</v>
      </c>
      <c r="K3" s="70" t="s">
        <v>398</v>
      </c>
      <c r="L3" s="66" t="s">
        <v>69</v>
      </c>
      <c r="M3" s="27" t="s">
        <v>48</v>
      </c>
    </row>
    <row r="4" spans="1:13">
      <c r="B4" s="25" t="str">
        <f t="shared" ref="B4:B9" si="0">"WSD_"&amp;C4</f>
        <v>WSD_Approval</v>
      </c>
      <c r="C4" s="25" t="s">
        <v>1058</v>
      </c>
      <c r="D4" s="67" t="s">
        <v>1059</v>
      </c>
      <c r="E4" s="67" t="s">
        <v>1059</v>
      </c>
      <c r="F4" s="25" t="s">
        <v>1058</v>
      </c>
      <c r="G4" s="25">
        <v>2</v>
      </c>
      <c r="L4" s="69" t="s">
        <v>417</v>
      </c>
      <c r="M4" s="25" t="s">
        <v>418</v>
      </c>
    </row>
    <row r="5" spans="1:13">
      <c r="B5" s="25" t="str">
        <f t="shared" si="0"/>
        <v>WSD_Notification</v>
      </c>
      <c r="C5" s="25" t="s">
        <v>1060</v>
      </c>
      <c r="D5" s="67" t="s">
        <v>1061</v>
      </c>
      <c r="E5" s="67" t="s">
        <v>1061</v>
      </c>
      <c r="F5" s="25" t="s">
        <v>1060</v>
      </c>
      <c r="G5" s="25">
        <v>1</v>
      </c>
      <c r="L5" s="69" t="s">
        <v>417</v>
      </c>
      <c r="M5" s="25" t="s">
        <v>418</v>
      </c>
    </row>
    <row r="6" spans="1:13">
      <c r="B6" s="25" t="str">
        <f t="shared" si="0"/>
        <v>WSD_Voting</v>
      </c>
      <c r="C6" s="25" t="s">
        <v>1062</v>
      </c>
      <c r="D6" s="67" t="s">
        <v>1063</v>
      </c>
      <c r="E6" s="67" t="s">
        <v>1063</v>
      </c>
      <c r="F6" s="25" t="s">
        <v>1062</v>
      </c>
      <c r="G6" s="25">
        <v>1</v>
      </c>
      <c r="L6" s="69" t="s">
        <v>417</v>
      </c>
      <c r="M6" s="25" t="s">
        <v>418</v>
      </c>
    </row>
    <row r="7" spans="1:13">
      <c r="B7" s="25" t="str">
        <f t="shared" si="0"/>
        <v>WSD_SignOff</v>
      </c>
      <c r="C7" s="25" t="s">
        <v>1064</v>
      </c>
      <c r="D7" s="68" t="s">
        <v>1065</v>
      </c>
      <c r="E7" s="68" t="s">
        <v>1065</v>
      </c>
      <c r="F7" s="25" t="s">
        <v>1064</v>
      </c>
      <c r="G7" s="25">
        <v>1</v>
      </c>
      <c r="L7" s="69" t="s">
        <v>417</v>
      </c>
      <c r="M7" s="25" t="s">
        <v>418</v>
      </c>
    </row>
    <row r="8" spans="1:13">
      <c r="B8" s="25" t="str">
        <f t="shared" si="0"/>
        <v>WSD_Process</v>
      </c>
      <c r="C8" s="69" t="s">
        <v>1066</v>
      </c>
      <c r="D8" s="68" t="s">
        <v>1067</v>
      </c>
      <c r="E8" s="68" t="s">
        <v>1067</v>
      </c>
      <c r="F8" s="69" t="s">
        <v>1066</v>
      </c>
      <c r="G8" s="25">
        <v>1</v>
      </c>
      <c r="L8" s="69" t="s">
        <v>417</v>
      </c>
      <c r="M8" s="25" t="s">
        <v>418</v>
      </c>
    </row>
    <row r="9" spans="1:13">
      <c r="B9" s="25" t="str">
        <f t="shared" si="0"/>
        <v>WSD_Start</v>
      </c>
      <c r="C9" s="69" t="s">
        <v>1068</v>
      </c>
      <c r="D9" s="68" t="s">
        <v>1069</v>
      </c>
      <c r="E9" s="68" t="s">
        <v>1069</v>
      </c>
      <c r="F9" s="69" t="s">
        <v>1068</v>
      </c>
      <c r="G9" s="25">
        <v>1</v>
      </c>
      <c r="L9" s="69" t="s">
        <v>417</v>
      </c>
      <c r="M9" s="25" t="s">
        <v>418</v>
      </c>
    </row>
    <row r="10" spans="1:13">
      <c r="M10" s="69"/>
    </row>
    <row r="11" spans="1:13">
      <c r="A11" s="30" t="s">
        <v>24</v>
      </c>
      <c r="B11" s="30" t="s">
        <v>43</v>
      </c>
      <c r="C11" s="31" t="s">
        <v>81</v>
      </c>
      <c r="D11" s="31" t="s">
        <v>76</v>
      </c>
      <c r="E11" s="31" t="s">
        <v>79</v>
      </c>
      <c r="F11" s="31" t="s">
        <v>83</v>
      </c>
      <c r="G11" s="31" t="s">
        <v>82</v>
      </c>
      <c r="H11" s="31" t="s">
        <v>78</v>
      </c>
      <c r="I11" s="31" t="s">
        <v>80</v>
      </c>
      <c r="J11" s="31" t="s">
        <v>84</v>
      </c>
      <c r="K11" s="31" t="s">
        <v>85</v>
      </c>
      <c r="L11" s="30" t="s">
        <v>48</v>
      </c>
    </row>
    <row r="12" spans="1:13">
      <c r="B12" s="25" t="str">
        <f t="shared" ref="B12:B17" si="1">F12&amp;"."&amp;C12&amp;"."&amp;G12</f>
        <v>WorkflowStepDefStepClass.WSD_Approval.WSC_W</v>
      </c>
      <c r="C12" s="25" t="s">
        <v>1070</v>
      </c>
      <c r="D12" s="25" t="s">
        <v>1058</v>
      </c>
      <c r="E12" s="25" t="s">
        <v>309</v>
      </c>
      <c r="F12" s="25" t="s">
        <v>337</v>
      </c>
      <c r="G12" s="25" t="s">
        <v>850</v>
      </c>
      <c r="H12" s="69" t="s">
        <v>1049</v>
      </c>
      <c r="I12" s="25" t="s">
        <v>312</v>
      </c>
      <c r="J12" s="25">
        <v>10</v>
      </c>
      <c r="K12" s="25" t="b">
        <v>1</v>
      </c>
      <c r="L12" s="25" t="s">
        <v>418</v>
      </c>
    </row>
    <row r="13" spans="1:13">
      <c r="B13" s="25" t="str">
        <f t="shared" si="1"/>
        <v>WorkflowStepDefStepClass.WSD_Notification.WSC_I</v>
      </c>
      <c r="C13" s="25" t="s">
        <v>1071</v>
      </c>
      <c r="D13" s="25" t="s">
        <v>1060</v>
      </c>
      <c r="E13" s="25" t="s">
        <v>309</v>
      </c>
      <c r="F13" s="25" t="s">
        <v>337</v>
      </c>
      <c r="G13" s="25" t="s">
        <v>847</v>
      </c>
      <c r="H13" s="69" t="s">
        <v>1046</v>
      </c>
      <c r="I13" s="25" t="s">
        <v>312</v>
      </c>
      <c r="J13" s="25">
        <v>11</v>
      </c>
      <c r="K13" s="25" t="b">
        <v>1</v>
      </c>
      <c r="L13" s="25" t="s">
        <v>418</v>
      </c>
    </row>
    <row r="14" spans="1:13">
      <c r="B14" s="25" t="str">
        <f t="shared" si="1"/>
        <v>WorkflowStepDefStepClass.WSD_Voting.WSC_W</v>
      </c>
      <c r="C14" s="25" t="s">
        <v>1072</v>
      </c>
      <c r="D14" s="25" t="s">
        <v>1062</v>
      </c>
      <c r="E14" s="25" t="s">
        <v>309</v>
      </c>
      <c r="F14" s="25" t="s">
        <v>337</v>
      </c>
      <c r="G14" s="25" t="s">
        <v>850</v>
      </c>
      <c r="H14" s="69" t="s">
        <v>1049</v>
      </c>
      <c r="I14" s="25" t="s">
        <v>312</v>
      </c>
      <c r="J14" s="25">
        <v>12</v>
      </c>
      <c r="K14" s="25" t="b">
        <v>1</v>
      </c>
      <c r="L14" s="25" t="s">
        <v>418</v>
      </c>
    </row>
    <row r="15" spans="1:13">
      <c r="B15" s="25" t="str">
        <f t="shared" si="1"/>
        <v>WorkflowStepDefStepClass.WSD_SignOff.WSC_P</v>
      </c>
      <c r="C15" s="25" t="s">
        <v>1073</v>
      </c>
      <c r="D15" s="25" t="s">
        <v>1064</v>
      </c>
      <c r="E15" s="25" t="s">
        <v>309</v>
      </c>
      <c r="F15" s="25" t="s">
        <v>337</v>
      </c>
      <c r="G15" s="25" t="s">
        <v>844</v>
      </c>
      <c r="H15" s="69" t="s">
        <v>1043</v>
      </c>
      <c r="I15" s="25" t="s">
        <v>312</v>
      </c>
      <c r="J15" s="25">
        <v>13</v>
      </c>
      <c r="K15" s="25" t="b">
        <v>1</v>
      </c>
      <c r="L15" s="25" t="s">
        <v>418</v>
      </c>
    </row>
    <row r="16" spans="1:13">
      <c r="B16" s="25" t="str">
        <f t="shared" si="1"/>
        <v>WorkflowStepDefStepClass.WSD_Process.WSC_W</v>
      </c>
      <c r="C16" s="25" t="s">
        <v>1074</v>
      </c>
      <c r="D16" s="25" t="s">
        <v>1066</v>
      </c>
      <c r="E16" s="25" t="s">
        <v>309</v>
      </c>
      <c r="F16" s="25" t="s">
        <v>337</v>
      </c>
      <c r="G16" s="25" t="s">
        <v>850</v>
      </c>
      <c r="H16" s="69" t="s">
        <v>1049</v>
      </c>
      <c r="I16" s="25" t="s">
        <v>312</v>
      </c>
      <c r="J16" s="25">
        <v>14</v>
      </c>
      <c r="K16" s="25" t="b">
        <v>1</v>
      </c>
      <c r="L16" s="25" t="s">
        <v>418</v>
      </c>
    </row>
    <row r="17" spans="1:12">
      <c r="B17" s="25" t="str">
        <f t="shared" si="1"/>
        <v>WorkflowStepDefStepClass.WSD_Start.WSC_W</v>
      </c>
      <c r="C17" s="25" t="s">
        <v>1075</v>
      </c>
      <c r="D17" s="25" t="s">
        <v>1068</v>
      </c>
      <c r="E17" s="25" t="s">
        <v>309</v>
      </c>
      <c r="F17" s="25" t="s">
        <v>337</v>
      </c>
      <c r="G17" s="25" t="s">
        <v>850</v>
      </c>
      <c r="H17" s="69" t="s">
        <v>1049</v>
      </c>
      <c r="I17" s="25" t="s">
        <v>312</v>
      </c>
      <c r="J17" s="25">
        <v>15</v>
      </c>
      <c r="K17" s="25" t="b">
        <v>1</v>
      </c>
      <c r="L17" s="25" t="s">
        <v>418</v>
      </c>
    </row>
    <row r="19" spans="1:12">
      <c r="A19" s="30" t="s">
        <v>24</v>
      </c>
      <c r="B19" s="30" t="s">
        <v>43</v>
      </c>
      <c r="C19" s="31" t="s">
        <v>81</v>
      </c>
      <c r="D19" s="31" t="s">
        <v>76</v>
      </c>
      <c r="E19" s="31" t="s">
        <v>79</v>
      </c>
      <c r="F19" s="31" t="s">
        <v>83</v>
      </c>
      <c r="G19" s="31" t="s">
        <v>82</v>
      </c>
      <c r="H19" s="31" t="s">
        <v>78</v>
      </c>
      <c r="I19" s="31" t="s">
        <v>80</v>
      </c>
      <c r="J19" s="31" t="s">
        <v>84</v>
      </c>
      <c r="K19" s="31" t="s">
        <v>85</v>
      </c>
      <c r="L19" s="30" t="s">
        <v>48</v>
      </c>
    </row>
    <row r="20" spans="1:12">
      <c r="B20" s="25" t="str">
        <f t="shared" ref="B20:B23" si="2">F20&amp;"."&amp;C20&amp;"."&amp;G20</f>
        <v>WorkflowStepDefMethod.WSD_Approval.MTH_approve</v>
      </c>
      <c r="C20" s="25" t="s">
        <v>1070</v>
      </c>
      <c r="D20" s="25" t="s">
        <v>1058</v>
      </c>
      <c r="E20" s="25" t="s">
        <v>309</v>
      </c>
      <c r="F20" s="25" t="s">
        <v>705</v>
      </c>
      <c r="G20" s="25" t="s">
        <v>1076</v>
      </c>
      <c r="H20" s="25" t="s">
        <v>1008</v>
      </c>
      <c r="I20" s="25" t="s">
        <v>352</v>
      </c>
      <c r="J20" s="25">
        <v>10</v>
      </c>
      <c r="K20" s="25" t="b">
        <v>1</v>
      </c>
      <c r="L20" s="25" t="s">
        <v>418</v>
      </c>
    </row>
    <row r="21" spans="1:12">
      <c r="B21" s="25" t="str">
        <f t="shared" si="2"/>
        <v>WorkflowStepDefMethod.WSD_Approval.MTH_reject</v>
      </c>
      <c r="C21" s="25" t="s">
        <v>1070</v>
      </c>
      <c r="D21" s="25" t="s">
        <v>1058</v>
      </c>
      <c r="E21" s="25" t="s">
        <v>309</v>
      </c>
      <c r="F21" s="25" t="s">
        <v>705</v>
      </c>
      <c r="G21" s="25" t="s">
        <v>1077</v>
      </c>
      <c r="H21" s="25" t="s">
        <v>1013</v>
      </c>
      <c r="I21" s="25" t="s">
        <v>352</v>
      </c>
      <c r="J21" s="25">
        <v>11</v>
      </c>
      <c r="K21" s="25" t="b">
        <v>1</v>
      </c>
      <c r="L21" s="25" t="s">
        <v>418</v>
      </c>
    </row>
    <row r="22" spans="1:12">
      <c r="B22" s="25" t="str">
        <f t="shared" si="2"/>
        <v>WorkflowStepDefMethod.WSD_Approval.MTH_claim</v>
      </c>
      <c r="C22" s="25" t="s">
        <v>1070</v>
      </c>
      <c r="D22" s="25" t="s">
        <v>1058</v>
      </c>
      <c r="E22" s="25" t="s">
        <v>309</v>
      </c>
      <c r="F22" s="25" t="s">
        <v>705</v>
      </c>
      <c r="G22" s="25" t="s">
        <v>1078</v>
      </c>
      <c r="H22" s="25" t="s">
        <v>1021</v>
      </c>
      <c r="I22" s="25" t="s">
        <v>352</v>
      </c>
      <c r="J22" s="25">
        <v>12</v>
      </c>
      <c r="K22" s="25" t="b">
        <v>1</v>
      </c>
      <c r="L22" s="25" t="s">
        <v>418</v>
      </c>
    </row>
    <row r="23" spans="1:12">
      <c r="B23" s="25" t="str">
        <f t="shared" si="2"/>
        <v>WorkflowStepDefMethod.WSD_Approval.MTH_report</v>
      </c>
      <c r="C23" s="25" t="s">
        <v>1070</v>
      </c>
      <c r="D23" s="25" t="s">
        <v>1058</v>
      </c>
      <c r="E23" s="25" t="s">
        <v>309</v>
      </c>
      <c r="F23" s="25" t="s">
        <v>705</v>
      </c>
      <c r="G23" s="69" t="s">
        <v>1079</v>
      </c>
      <c r="H23" s="69" t="s">
        <v>1015</v>
      </c>
      <c r="I23" s="25" t="s">
        <v>352</v>
      </c>
      <c r="J23" s="25">
        <v>13</v>
      </c>
      <c r="K23" s="25" t="b">
        <v>1</v>
      </c>
      <c r="L23" s="25" t="s">
        <v>418</v>
      </c>
    </row>
    <row r="24" spans="1:12">
      <c r="B24" s="25" t="str">
        <f t="shared" ref="B24:B26" si="3">F24&amp;"."&amp;C24&amp;"."&amp;G24</f>
        <v>WorkflowStepDefMethod.WSD_Process.MTH_claim</v>
      </c>
      <c r="C24" s="25" t="s">
        <v>1074</v>
      </c>
      <c r="D24" s="25" t="s">
        <v>1066</v>
      </c>
      <c r="E24" s="25" t="s">
        <v>309</v>
      </c>
      <c r="F24" s="25" t="s">
        <v>705</v>
      </c>
      <c r="G24" s="25" t="s">
        <v>1078</v>
      </c>
      <c r="H24" s="25" t="s">
        <v>1021</v>
      </c>
      <c r="I24" s="25" t="s">
        <v>352</v>
      </c>
      <c r="J24" s="25">
        <v>14</v>
      </c>
      <c r="K24" s="25" t="b">
        <v>1</v>
      </c>
      <c r="L24" s="25" t="s">
        <v>418</v>
      </c>
    </row>
    <row r="25" spans="1:12">
      <c r="B25" s="25" t="str">
        <f t="shared" si="3"/>
        <v>WorkflowStepDefMethod.WSD_Process.MTH_approve</v>
      </c>
      <c r="C25" s="25" t="s">
        <v>1074</v>
      </c>
      <c r="D25" s="25" t="s">
        <v>1066</v>
      </c>
      <c r="E25" s="25" t="s">
        <v>309</v>
      </c>
      <c r="F25" s="25" t="s">
        <v>705</v>
      </c>
      <c r="G25" s="25" t="s">
        <v>1076</v>
      </c>
      <c r="H25" s="25" t="s">
        <v>1008</v>
      </c>
      <c r="I25" s="25" t="s">
        <v>352</v>
      </c>
      <c r="J25" s="25">
        <v>15</v>
      </c>
      <c r="K25" s="25" t="b">
        <v>1</v>
      </c>
      <c r="L25" s="25" t="s">
        <v>418</v>
      </c>
    </row>
    <row r="26" spans="1:12">
      <c r="B26" s="25" t="str">
        <f t="shared" si="3"/>
        <v>WorkflowStepDefMethod.WSD_Process.MTH_report</v>
      </c>
      <c r="C26" s="25" t="s">
        <v>1074</v>
      </c>
      <c r="D26" s="25" t="s">
        <v>1066</v>
      </c>
      <c r="E26" s="25" t="s">
        <v>309</v>
      </c>
      <c r="F26" s="25" t="s">
        <v>705</v>
      </c>
      <c r="G26" s="69" t="s">
        <v>1079</v>
      </c>
      <c r="H26" s="69" t="s">
        <v>1015</v>
      </c>
      <c r="I26" s="25" t="s">
        <v>352</v>
      </c>
      <c r="J26" s="25">
        <v>16</v>
      </c>
      <c r="K26" s="25" t="b">
        <v>1</v>
      </c>
      <c r="L26" s="25" t="s">
        <v>418</v>
      </c>
    </row>
    <row r="27" spans="1:12">
      <c r="B27" s="25" t="str">
        <f t="shared" ref="B27:B31" si="4">F27&amp;"."&amp;C27&amp;"."&amp;G27</f>
        <v>WorkflowStepDefMethod.WSD_Start.MTH_approve</v>
      </c>
      <c r="C27" s="25" t="s">
        <v>1075</v>
      </c>
      <c r="D27" s="25" t="s">
        <v>1068</v>
      </c>
      <c r="E27" s="25" t="s">
        <v>309</v>
      </c>
      <c r="F27" s="25" t="s">
        <v>705</v>
      </c>
      <c r="G27" s="25" t="s">
        <v>1076</v>
      </c>
      <c r="H27" s="25" t="s">
        <v>1008</v>
      </c>
      <c r="I27" s="25" t="s">
        <v>352</v>
      </c>
      <c r="J27" s="25">
        <v>17</v>
      </c>
      <c r="K27" s="25" t="b">
        <v>1</v>
      </c>
      <c r="L27" s="25" t="s">
        <v>418</v>
      </c>
    </row>
    <row r="28" spans="1:12">
      <c r="B28" s="25" t="str">
        <f t="shared" si="4"/>
        <v>WorkflowStepDefMethod.WSD_Start.MTH_report</v>
      </c>
      <c r="C28" s="25" t="s">
        <v>1075</v>
      </c>
      <c r="D28" s="25" t="s">
        <v>1068</v>
      </c>
      <c r="E28" s="25" t="s">
        <v>309</v>
      </c>
      <c r="F28" s="25" t="s">
        <v>705</v>
      </c>
      <c r="G28" s="69" t="s">
        <v>1079</v>
      </c>
      <c r="H28" s="69" t="s">
        <v>1015</v>
      </c>
      <c r="I28" s="25" t="s">
        <v>352</v>
      </c>
      <c r="J28" s="25">
        <v>18</v>
      </c>
      <c r="K28" s="25" t="b">
        <v>1</v>
      </c>
      <c r="L28" s="25" t="s">
        <v>418</v>
      </c>
    </row>
    <row r="29" spans="1:12">
      <c r="B29" s="25" t="str">
        <f t="shared" si="4"/>
        <v>WorkflowStepDefMethod.WSD_Voting.MTH_report</v>
      </c>
      <c r="C29" s="69" t="s">
        <v>1072</v>
      </c>
      <c r="D29" s="69" t="s">
        <v>1062</v>
      </c>
      <c r="E29" s="25" t="s">
        <v>309</v>
      </c>
      <c r="F29" s="25" t="s">
        <v>705</v>
      </c>
      <c r="G29" s="69" t="s">
        <v>1079</v>
      </c>
      <c r="H29" s="69" t="s">
        <v>1015</v>
      </c>
      <c r="I29" s="25" t="s">
        <v>352</v>
      </c>
      <c r="J29" s="25">
        <v>19</v>
      </c>
      <c r="K29" s="25" t="b">
        <v>1</v>
      </c>
      <c r="L29" s="25" t="s">
        <v>418</v>
      </c>
    </row>
    <row r="30" spans="1:12">
      <c r="B30" s="25" t="str">
        <f t="shared" si="4"/>
        <v>WorkflowStepDefMethod.WSD_Notification.MTH_report</v>
      </c>
      <c r="C30" s="69" t="s">
        <v>1071</v>
      </c>
      <c r="D30" s="69" t="s">
        <v>1060</v>
      </c>
      <c r="E30" s="25" t="s">
        <v>309</v>
      </c>
      <c r="F30" s="25" t="s">
        <v>705</v>
      </c>
      <c r="G30" s="69" t="s">
        <v>1079</v>
      </c>
      <c r="H30" s="69" t="s">
        <v>1015</v>
      </c>
      <c r="I30" s="25" t="s">
        <v>352</v>
      </c>
      <c r="J30" s="25">
        <v>20</v>
      </c>
      <c r="K30" s="25" t="b">
        <v>1</v>
      </c>
      <c r="L30" s="25" t="s">
        <v>418</v>
      </c>
    </row>
    <row r="31" spans="1:12">
      <c r="B31" s="25" t="str">
        <f t="shared" si="4"/>
        <v>WorkflowStepDefMethod.WSD_SignOff.MTH_report</v>
      </c>
      <c r="C31" s="69" t="s">
        <v>1073</v>
      </c>
      <c r="D31" s="69" t="s">
        <v>1064</v>
      </c>
      <c r="E31" s="25" t="s">
        <v>309</v>
      </c>
      <c r="F31" s="25" t="s">
        <v>705</v>
      </c>
      <c r="G31" s="69" t="s">
        <v>1079</v>
      </c>
      <c r="H31" s="69" t="s">
        <v>1015</v>
      </c>
      <c r="I31" s="25" t="s">
        <v>352</v>
      </c>
      <c r="J31" s="25">
        <v>21</v>
      </c>
      <c r="K31" s="25" t="b">
        <v>1</v>
      </c>
      <c r="L31" s="25" t="s">
        <v>418</v>
      </c>
    </row>
  </sheetData>
  <sheetProtection formatCells="0" insertHyperlinks="0" autoFilter="0"/>
  <mergeCells count="1">
    <mergeCell ref="A1:M1"/>
  </mergeCells>
  <conditionalFormatting sqref="B2">
    <cfRule type="duplicateValues" dxfId="11" priority="3"/>
    <cfRule type="duplicateValues" dxfId="10" priority="2"/>
  </conditionalFormatting>
  <conditionalFormatting sqref="B3">
    <cfRule type="duplicateValues" dxfId="9" priority="1"/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7"/>
  <sheetViews>
    <sheetView workbookViewId="0">
      <selection activeCell="N21" sqref="N21"/>
    </sheetView>
  </sheetViews>
  <sheetFormatPr defaultColWidth="9" defaultRowHeight="14.25"/>
  <cols>
    <col min="1" max="1" width="8.5703125" style="63" customWidth="1"/>
    <col min="2" max="2" width="14.42578125" style="63" customWidth="1"/>
    <col min="3" max="3" width="8.5703125" style="63" customWidth="1"/>
    <col min="4" max="4" width="10.28515625" style="63" customWidth="1"/>
    <col min="5" max="5" width="12.140625" style="63" customWidth="1"/>
    <col min="6" max="6" width="17.28515625" style="63" customWidth="1"/>
    <col min="7" max="7" width="10.140625" style="63" customWidth="1"/>
    <col min="8" max="16384" width="9" style="63"/>
  </cols>
  <sheetData>
    <row r="1" spans="1:7" ht="16.5">
      <c r="A1" s="321" t="s">
        <v>1080</v>
      </c>
      <c r="B1" s="335"/>
      <c r="C1" s="335"/>
      <c r="D1" s="335"/>
      <c r="E1" s="335"/>
      <c r="F1" s="335"/>
      <c r="G1" s="54"/>
    </row>
    <row r="2" spans="1:7">
      <c r="A2" s="55"/>
      <c r="B2" s="55"/>
      <c r="C2" s="56"/>
      <c r="D2" s="55"/>
      <c r="E2" s="55"/>
      <c r="F2" s="55"/>
      <c r="G2" s="55"/>
    </row>
    <row r="3" spans="1:7">
      <c r="A3" s="53" t="s">
        <v>1081</v>
      </c>
      <c r="B3" s="54" t="s">
        <v>43</v>
      </c>
      <c r="C3" s="58" t="s">
        <v>46</v>
      </c>
      <c r="D3" s="58" t="s">
        <v>50</v>
      </c>
      <c r="E3" s="58" t="s">
        <v>51</v>
      </c>
      <c r="F3" s="58" t="s">
        <v>69</v>
      </c>
      <c r="G3" s="54" t="s">
        <v>48</v>
      </c>
    </row>
    <row r="4" spans="1:7">
      <c r="B4" s="63" t="str">
        <f t="shared" ref="B4:B7" si="0">"WSS_"&amp;C4</f>
        <v>WSS_C</v>
      </c>
      <c r="C4" s="62" t="s">
        <v>1082</v>
      </c>
      <c r="D4" s="63" t="s">
        <v>1083</v>
      </c>
      <c r="E4" s="63" t="s">
        <v>1083</v>
      </c>
      <c r="F4" s="62" t="s">
        <v>417</v>
      </c>
      <c r="G4" s="63" t="s">
        <v>418</v>
      </c>
    </row>
    <row r="5" spans="1:7">
      <c r="B5" s="63" t="str">
        <f t="shared" si="0"/>
        <v>WSS_RS</v>
      </c>
      <c r="C5" s="62" t="s">
        <v>1084</v>
      </c>
      <c r="D5" s="63" t="s">
        <v>1085</v>
      </c>
      <c r="E5" s="63" t="s">
        <v>1085</v>
      </c>
      <c r="F5" s="62" t="s">
        <v>417</v>
      </c>
      <c r="G5" s="63" t="s">
        <v>418</v>
      </c>
    </row>
    <row r="6" spans="1:7">
      <c r="B6" s="63" t="str">
        <f t="shared" si="0"/>
        <v>WSS_SignOff</v>
      </c>
      <c r="C6" s="63" t="s">
        <v>1064</v>
      </c>
      <c r="D6" s="63" t="s">
        <v>1086</v>
      </c>
      <c r="E6" s="63" t="s">
        <v>1086</v>
      </c>
      <c r="F6" s="62" t="s">
        <v>417</v>
      </c>
      <c r="G6" s="63" t="s">
        <v>418</v>
      </c>
    </row>
    <row r="7" spans="1:7">
      <c r="B7" s="63" t="str">
        <f t="shared" si="0"/>
        <v>WSS_RJ</v>
      </c>
      <c r="C7" s="63" t="s">
        <v>1087</v>
      </c>
      <c r="D7" s="63" t="s">
        <v>1088</v>
      </c>
      <c r="E7" s="63" t="s">
        <v>1088</v>
      </c>
      <c r="F7" s="62" t="s">
        <v>417</v>
      </c>
      <c r="G7" s="63" t="s">
        <v>418</v>
      </c>
    </row>
  </sheetData>
  <sheetProtection formatCells="0" insertHyperlinks="0" autoFilter="0"/>
  <mergeCells count="1">
    <mergeCell ref="A1:F1"/>
  </mergeCells>
  <conditionalFormatting sqref="B2">
    <cfRule type="duplicateValues" dxfId="8" priority="3"/>
    <cfRule type="duplicateValues" dxfId="7" priority="2"/>
  </conditionalFormatting>
  <conditionalFormatting sqref="B3">
    <cfRule type="duplicateValues" dxfId="6" priority="1"/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4"/>
  <sheetViews>
    <sheetView workbookViewId="0">
      <selection activeCell="O64" sqref="O64"/>
    </sheetView>
  </sheetViews>
  <sheetFormatPr defaultColWidth="9" defaultRowHeight="15"/>
  <cols>
    <col min="1" max="1" width="69.28515625" customWidth="1"/>
    <col min="2" max="2" width="16.28515625" customWidth="1"/>
    <col min="3" max="3" width="6.140625" customWidth="1"/>
    <col min="4" max="4" width="10.85546875" customWidth="1"/>
    <col min="5" max="5" width="12.140625" customWidth="1"/>
    <col min="6" max="6" width="10.85546875" customWidth="1"/>
    <col min="7" max="7" width="17.28515625" customWidth="1"/>
    <col min="8" max="8" width="10.140625" customWidth="1"/>
  </cols>
  <sheetData>
    <row r="1" spans="1:8" ht="16.5">
      <c r="A1" s="321" t="s">
        <v>1080</v>
      </c>
      <c r="B1" s="335"/>
      <c r="C1" s="335"/>
      <c r="D1" s="335"/>
      <c r="E1" s="335"/>
      <c r="F1" s="335"/>
      <c r="G1" s="335"/>
      <c r="H1" s="54"/>
    </row>
    <row r="2" spans="1:8">
      <c r="A2" s="55"/>
      <c r="B2" s="55"/>
      <c r="C2" s="56"/>
      <c r="D2" s="55"/>
      <c r="E2" s="55"/>
      <c r="F2" s="55"/>
      <c r="G2" s="55"/>
      <c r="H2" s="55"/>
    </row>
    <row r="3" spans="1:8">
      <c r="A3" s="57" t="s">
        <v>799</v>
      </c>
      <c r="B3" s="54" t="s">
        <v>43</v>
      </c>
      <c r="C3" s="58" t="s">
        <v>46</v>
      </c>
      <c r="D3" s="58" t="s">
        <v>50</v>
      </c>
      <c r="E3" s="58" t="s">
        <v>51</v>
      </c>
      <c r="F3" s="64" t="s">
        <v>1089</v>
      </c>
      <c r="G3" s="58" t="s">
        <v>69</v>
      </c>
      <c r="H3" s="54" t="s">
        <v>48</v>
      </c>
    </row>
    <row r="4" spans="1:8">
      <c r="A4" s="62" t="s">
        <v>715</v>
      </c>
      <c r="B4" s="63" t="str">
        <f>"WFCOND_"&amp;C4</f>
        <v>WFCOND_IsDoc</v>
      </c>
      <c r="C4" s="62" t="s">
        <v>1090</v>
      </c>
      <c r="D4" s="60" t="s">
        <v>1091</v>
      </c>
      <c r="E4" s="60" t="s">
        <v>1091</v>
      </c>
      <c r="F4" s="63" t="s">
        <v>1092</v>
      </c>
      <c r="G4" s="62" t="s">
        <v>417</v>
      </c>
      <c r="H4" s="63" t="s">
        <v>418</v>
      </c>
    </row>
  </sheetData>
  <sheetProtection formatCells="0" insertHyperlinks="0" autoFilter="0"/>
  <mergeCells count="1">
    <mergeCell ref="A1:G1"/>
  </mergeCells>
  <conditionalFormatting sqref="B2">
    <cfRule type="duplicateValues" dxfId="5" priority="3"/>
    <cfRule type="duplicateValues" dxfId="4" priority="2"/>
  </conditionalFormatting>
  <conditionalFormatting sqref="B3">
    <cfRule type="duplicateValues" dxfId="3" priority="1"/>
  </conditionalFormatting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7"/>
  <sheetViews>
    <sheetView workbookViewId="0">
      <selection activeCell="B5" sqref="B5:C5"/>
    </sheetView>
  </sheetViews>
  <sheetFormatPr defaultColWidth="9" defaultRowHeight="15"/>
  <cols>
    <col min="1" max="1" width="15" customWidth="1"/>
    <col min="2" max="2" width="13.7109375" customWidth="1"/>
    <col min="3" max="3" width="8.42578125" customWidth="1"/>
    <col min="4" max="4" width="10.28515625" customWidth="1"/>
    <col min="5" max="5" width="12.140625" customWidth="1"/>
    <col min="6" max="6" width="17.28515625" customWidth="1"/>
    <col min="7" max="7" width="10.140625" customWidth="1"/>
  </cols>
  <sheetData>
    <row r="1" spans="1:7" ht="16.5">
      <c r="A1" s="321" t="s">
        <v>1080</v>
      </c>
      <c r="B1" s="335"/>
      <c r="C1" s="335"/>
      <c r="D1" s="335"/>
      <c r="E1" s="335"/>
      <c r="F1" s="335"/>
      <c r="G1" s="54"/>
    </row>
    <row r="2" spans="1:7">
      <c r="A2" s="55"/>
      <c r="B2" s="55"/>
      <c r="C2" s="56"/>
      <c r="D2" s="55"/>
      <c r="E2" s="55"/>
      <c r="F2" s="55"/>
      <c r="G2" s="55"/>
    </row>
    <row r="3" spans="1:7">
      <c r="A3" s="57" t="s">
        <v>1093</v>
      </c>
      <c r="B3" s="54" t="s">
        <v>43</v>
      </c>
      <c r="C3" s="58" t="s">
        <v>46</v>
      </c>
      <c r="D3" s="58" t="s">
        <v>50</v>
      </c>
      <c r="E3" s="58" t="s">
        <v>51</v>
      </c>
      <c r="F3" s="58" t="s">
        <v>69</v>
      </c>
      <c r="G3" s="54" t="s">
        <v>48</v>
      </c>
    </row>
    <row r="4" spans="1:7">
      <c r="A4" s="59"/>
      <c r="B4" s="59" t="str">
        <f t="shared" ref="B4:B7" si="0">"WFNT."&amp;C4</f>
        <v>WFNT.All</v>
      </c>
      <c r="C4" s="60" t="s">
        <v>485</v>
      </c>
      <c r="D4" s="61" t="s">
        <v>486</v>
      </c>
      <c r="E4" s="61" t="s">
        <v>486</v>
      </c>
      <c r="F4" s="62" t="s">
        <v>417</v>
      </c>
      <c r="G4" s="63" t="s">
        <v>418</v>
      </c>
    </row>
    <row r="5" spans="1:7">
      <c r="A5" s="59"/>
      <c r="B5" s="59" t="str">
        <f t="shared" si="0"/>
        <v>WFNT.Email</v>
      </c>
      <c r="C5" s="60" t="s">
        <v>166</v>
      </c>
      <c r="D5" s="61" t="s">
        <v>489</v>
      </c>
      <c r="E5" s="61" t="s">
        <v>489</v>
      </c>
      <c r="F5" s="62" t="s">
        <v>417</v>
      </c>
      <c r="G5" s="63" t="s">
        <v>418</v>
      </c>
    </row>
    <row r="6" spans="1:7">
      <c r="A6" s="59"/>
      <c r="B6" s="59" t="str">
        <f t="shared" si="0"/>
        <v>WFNT.Message</v>
      </c>
      <c r="C6" s="60" t="s">
        <v>491</v>
      </c>
      <c r="D6" s="61" t="s">
        <v>492</v>
      </c>
      <c r="E6" s="61" t="s">
        <v>492</v>
      </c>
      <c r="F6" s="62" t="s">
        <v>417</v>
      </c>
      <c r="G6" s="63" t="s">
        <v>418</v>
      </c>
    </row>
    <row r="7" spans="1:7">
      <c r="A7" s="59"/>
      <c r="B7" s="59" t="str">
        <f t="shared" si="0"/>
        <v>WFNT.Mail</v>
      </c>
      <c r="C7" s="60" t="s">
        <v>494</v>
      </c>
      <c r="D7" s="61" t="s">
        <v>495</v>
      </c>
      <c r="E7" s="61" t="s">
        <v>495</v>
      </c>
      <c r="F7" s="62" t="s">
        <v>417</v>
      </c>
      <c r="G7" s="63" t="s">
        <v>418</v>
      </c>
    </row>
  </sheetData>
  <sheetProtection formatCells="0" insertHyperlinks="0" autoFilter="0"/>
  <mergeCells count="1">
    <mergeCell ref="A1:F1"/>
  </mergeCells>
  <conditionalFormatting sqref="B2">
    <cfRule type="duplicateValues" dxfId="2" priority="3"/>
    <cfRule type="duplicateValues" dxfId="1" priority="2"/>
  </conditionalFormatting>
  <conditionalFormatting sqref="B3">
    <cfRule type="duplicateValues" dxfId="0" priority="1"/>
  </conditionalFormatting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4"/>
  <sheetViews>
    <sheetView workbookViewId="0">
      <selection activeCell="N51" sqref="N51"/>
    </sheetView>
  </sheetViews>
  <sheetFormatPr defaultColWidth="9" defaultRowHeight="15"/>
  <cols>
    <col min="1" max="1" width="12.42578125" customWidth="1"/>
    <col min="2" max="2" width="23.5703125" customWidth="1"/>
    <col min="3" max="3" width="14.42578125" customWidth="1"/>
    <col min="4" max="5" width="18.28515625" customWidth="1"/>
    <col min="6" max="6" width="19" customWidth="1"/>
    <col min="7" max="7" width="14.5703125" customWidth="1"/>
  </cols>
  <sheetData>
    <row r="1" spans="1:7" ht="22.5">
      <c r="A1" s="336" t="s">
        <v>1094</v>
      </c>
      <c r="B1" s="337"/>
      <c r="C1" s="337"/>
      <c r="D1" s="337"/>
      <c r="E1" s="337"/>
      <c r="F1" s="337"/>
      <c r="G1" s="46"/>
    </row>
    <row r="2" spans="1:7" ht="20.25">
      <c r="A2" s="47"/>
      <c r="B2" s="47"/>
      <c r="C2" s="48"/>
      <c r="D2" s="47"/>
      <c r="E2" s="47"/>
      <c r="F2" s="47"/>
      <c r="G2" s="47"/>
    </row>
    <row r="3" spans="1:7" ht="20.25">
      <c r="A3" s="49" t="s">
        <v>357</v>
      </c>
      <c r="B3" s="46" t="s">
        <v>43</v>
      </c>
      <c r="C3" s="50" t="s">
        <v>46</v>
      </c>
      <c r="D3" s="50" t="s">
        <v>50</v>
      </c>
      <c r="E3" s="50" t="s">
        <v>51</v>
      </c>
      <c r="F3" s="50" t="s">
        <v>69</v>
      </c>
      <c r="G3" s="46" t="s">
        <v>48</v>
      </c>
    </row>
    <row r="4" spans="1:7" ht="21.75">
      <c r="A4" s="51"/>
      <c r="B4" s="51" t="str">
        <f>"ABUSR_"&amp;C4</f>
        <v>ABUSR_Submitter</v>
      </c>
      <c r="C4" s="52" t="s">
        <v>1095</v>
      </c>
      <c r="D4" s="52" t="s">
        <v>1096</v>
      </c>
      <c r="E4" s="52" t="s">
        <v>1096</v>
      </c>
      <c r="F4" s="52" t="s">
        <v>417</v>
      </c>
      <c r="G4" s="52" t="s">
        <v>418</v>
      </c>
    </row>
  </sheetData>
  <sheetProtection formatCells="0" insertHyperlinks="0" autoFilter="0"/>
  <mergeCells count="1">
    <mergeCell ref="A1:F1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11"/>
  <sheetViews>
    <sheetView zoomScale="85" zoomScaleNormal="85" workbookViewId="0">
      <selection activeCell="C33" sqref="C33"/>
    </sheetView>
  </sheetViews>
  <sheetFormatPr defaultColWidth="9" defaultRowHeight="18"/>
  <cols>
    <col min="1" max="1" width="13.85546875" style="38" customWidth="1"/>
    <col min="2" max="2" width="114.85546875" style="38" customWidth="1"/>
    <col min="3" max="3" width="51.5703125" style="38" customWidth="1"/>
    <col min="4" max="4" width="18.7109375" style="38" customWidth="1"/>
    <col min="5" max="5" width="33.28515625" style="38" customWidth="1"/>
    <col min="6" max="6" width="40.5703125" style="38" customWidth="1"/>
    <col min="7" max="7" width="22.5703125" style="38" customWidth="1"/>
    <col min="8" max="8" width="12" style="38" customWidth="1"/>
    <col min="9" max="9" width="23.28515625" style="38" customWidth="1"/>
    <col min="10" max="10" width="13.5703125" style="38" customWidth="1"/>
    <col min="11" max="11" width="13.42578125" style="38" customWidth="1"/>
    <col min="12" max="12" width="13.28515625" style="38" customWidth="1"/>
    <col min="13" max="16384" width="9" style="38"/>
  </cols>
  <sheetData>
    <row r="1" spans="1:12" customFormat="1">
      <c r="A1" s="338" t="s">
        <v>1097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</row>
    <row r="2" spans="1:12" customFormat="1">
      <c r="A2" s="39"/>
      <c r="B2" s="39"/>
      <c r="C2" s="40"/>
      <c r="D2" s="39"/>
      <c r="E2" s="39"/>
      <c r="F2" s="39"/>
      <c r="G2" s="39"/>
      <c r="H2" s="39"/>
      <c r="I2" s="39"/>
      <c r="J2" s="39"/>
      <c r="K2" s="39"/>
    </row>
    <row r="3" spans="1:12" customFormat="1">
      <c r="A3" s="41" t="s">
        <v>354</v>
      </c>
      <c r="B3" s="42" t="s">
        <v>43</v>
      </c>
      <c r="C3" s="43" t="s">
        <v>46</v>
      </c>
      <c r="D3" s="43" t="s">
        <v>50</v>
      </c>
      <c r="E3" s="43" t="s">
        <v>51</v>
      </c>
      <c r="F3" s="45" t="s">
        <v>69</v>
      </c>
      <c r="G3" s="42" t="s">
        <v>48</v>
      </c>
      <c r="H3" s="39"/>
      <c r="I3" s="39"/>
      <c r="J3" s="39"/>
    </row>
    <row r="4" spans="1:12" customFormat="1">
      <c r="B4" s="44" t="s">
        <v>1098</v>
      </c>
      <c r="C4" s="44" t="s">
        <v>1099</v>
      </c>
      <c r="D4" s="44" t="s">
        <v>1100</v>
      </c>
      <c r="E4" s="44" t="s">
        <v>1100</v>
      </c>
      <c r="F4" s="44" t="s">
        <v>417</v>
      </c>
      <c r="G4" s="44" t="s">
        <v>418</v>
      </c>
    </row>
    <row r="5" spans="1:12" customFormat="1">
      <c r="B5" s="44" t="s">
        <v>1101</v>
      </c>
      <c r="C5" s="44" t="s">
        <v>1099</v>
      </c>
      <c r="D5" s="44" t="s">
        <v>1100</v>
      </c>
      <c r="E5" s="44" t="s">
        <v>1100</v>
      </c>
      <c r="F5" s="44" t="s">
        <v>417</v>
      </c>
      <c r="G5" s="44" t="s">
        <v>418</v>
      </c>
    </row>
    <row r="6" spans="1:12" customFormat="1">
      <c r="B6" s="44" t="s">
        <v>1102</v>
      </c>
      <c r="C6" s="44" t="s">
        <v>1099</v>
      </c>
      <c r="D6" s="44" t="s">
        <v>1100</v>
      </c>
      <c r="E6" s="44" t="s">
        <v>1100</v>
      </c>
      <c r="F6" s="44" t="s">
        <v>417</v>
      </c>
      <c r="G6" s="44" t="s">
        <v>418</v>
      </c>
    </row>
    <row r="7" spans="1:12" customFormat="1" ht="15"/>
    <row r="8" spans="1:12">
      <c r="A8" s="42" t="s">
        <v>24</v>
      </c>
      <c r="B8" s="42" t="s">
        <v>43</v>
      </c>
      <c r="C8" s="43" t="s">
        <v>81</v>
      </c>
      <c r="D8" s="43" t="s">
        <v>76</v>
      </c>
      <c r="E8" s="43" t="s">
        <v>79</v>
      </c>
      <c r="F8" s="43" t="s">
        <v>83</v>
      </c>
      <c r="G8" s="43" t="s">
        <v>82</v>
      </c>
      <c r="H8" s="43" t="s">
        <v>78</v>
      </c>
      <c r="I8" s="43" t="s">
        <v>80</v>
      </c>
      <c r="J8" s="43" t="s">
        <v>84</v>
      </c>
      <c r="K8" s="43" t="s">
        <v>85</v>
      </c>
      <c r="L8" s="42" t="s">
        <v>48</v>
      </c>
    </row>
    <row r="9" spans="1:12" customFormat="1">
      <c r="B9" s="38" t="s">
        <v>1103</v>
      </c>
      <c r="C9" s="44" t="s">
        <v>1098</v>
      </c>
      <c r="D9" s="38" t="s">
        <v>1099</v>
      </c>
      <c r="E9" s="38" t="s">
        <v>355</v>
      </c>
      <c r="F9" s="38" t="s">
        <v>361</v>
      </c>
      <c r="G9" s="38" t="s">
        <v>1104</v>
      </c>
      <c r="H9" s="38" t="s">
        <v>1095</v>
      </c>
      <c r="I9" s="38" t="s">
        <v>358</v>
      </c>
      <c r="J9" s="38">
        <v>10</v>
      </c>
      <c r="K9" s="38" t="b">
        <v>1</v>
      </c>
      <c r="L9" s="38" t="s">
        <v>418</v>
      </c>
    </row>
    <row r="10" spans="1:12" customFormat="1">
      <c r="B10" s="38" t="s">
        <v>1105</v>
      </c>
      <c r="C10" s="44" t="s">
        <v>1101</v>
      </c>
      <c r="D10" s="38" t="s">
        <v>1099</v>
      </c>
      <c r="E10" s="38" t="s">
        <v>355</v>
      </c>
      <c r="F10" s="38" t="s">
        <v>361</v>
      </c>
      <c r="G10" s="38" t="s">
        <v>1104</v>
      </c>
      <c r="H10" s="38" t="s">
        <v>1095</v>
      </c>
      <c r="I10" s="38" t="s">
        <v>358</v>
      </c>
      <c r="J10" s="38">
        <v>11</v>
      </c>
      <c r="K10" s="38" t="b">
        <v>1</v>
      </c>
      <c r="L10" s="38" t="s">
        <v>418</v>
      </c>
    </row>
    <row r="11" spans="1:12" customFormat="1">
      <c r="B11" s="38" t="s">
        <v>1106</v>
      </c>
      <c r="C11" s="38" t="s">
        <v>1102</v>
      </c>
      <c r="D11" s="38" t="s">
        <v>1099</v>
      </c>
      <c r="E11" s="38" t="s">
        <v>355</v>
      </c>
      <c r="F11" s="38" t="s">
        <v>361</v>
      </c>
      <c r="G11" s="38" t="s">
        <v>1104</v>
      </c>
      <c r="H11" s="38" t="s">
        <v>1095</v>
      </c>
      <c r="I11" s="38" t="s">
        <v>358</v>
      </c>
      <c r="J11" s="38">
        <v>12</v>
      </c>
      <c r="K11" s="38" t="b">
        <v>1</v>
      </c>
      <c r="L11" s="38" t="s">
        <v>418</v>
      </c>
    </row>
  </sheetData>
  <sheetProtection formatCells="0" insertHyperlinks="0" autoFilter="0"/>
  <mergeCells count="1">
    <mergeCell ref="A1:K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Y37"/>
  <sheetViews>
    <sheetView workbookViewId="0">
      <selection activeCell="B56" sqref="B56"/>
    </sheetView>
  </sheetViews>
  <sheetFormatPr defaultColWidth="9" defaultRowHeight="12.75"/>
  <cols>
    <col min="1" max="1" width="7.85546875" style="26" customWidth="1"/>
    <col min="2" max="2" width="22.7109375" style="26" customWidth="1"/>
    <col min="3" max="3" width="17" style="26" customWidth="1"/>
    <col min="4" max="4" width="12" style="26" customWidth="1"/>
    <col min="5" max="5" width="22.140625" style="26" customWidth="1"/>
    <col min="6" max="8" width="23.85546875" style="26" customWidth="1"/>
    <col min="9" max="9" width="28.7109375" style="26" customWidth="1"/>
    <col min="10" max="10" width="15.42578125" style="26" customWidth="1"/>
    <col min="11" max="11" width="23" style="26" customWidth="1"/>
    <col min="12" max="12" width="15.28515625" style="26" customWidth="1"/>
    <col min="13" max="13" width="19.140625" style="26" customWidth="1"/>
    <col min="14" max="14" width="16" style="26" customWidth="1"/>
    <col min="15" max="15" width="15.140625" style="26" customWidth="1"/>
    <col min="16" max="16" width="22.28515625" style="26" customWidth="1"/>
    <col min="17" max="17" width="9.140625" style="26" customWidth="1"/>
    <col min="18" max="18" width="9" style="26" customWidth="1"/>
    <col min="19" max="19" width="9.140625" style="26" customWidth="1"/>
    <col min="20" max="20" width="17" style="26" customWidth="1"/>
    <col min="21" max="22" width="17.140625" style="26" customWidth="1"/>
    <col min="23" max="16384" width="9" style="26"/>
  </cols>
  <sheetData>
    <row r="1" spans="1:25" s="25" customFormat="1" ht="16.5">
      <c r="A1" s="333" t="s">
        <v>1056</v>
      </c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</row>
    <row r="2" spans="1:25" s="25" customFormat="1">
      <c r="A2" s="26"/>
      <c r="B2" s="26"/>
      <c r="C2" s="28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</row>
    <row r="3" spans="1:25" s="25" customFormat="1">
      <c r="A3" s="29" t="s">
        <v>1107</v>
      </c>
      <c r="B3" s="30" t="s">
        <v>43</v>
      </c>
      <c r="C3" s="31" t="s">
        <v>46</v>
      </c>
      <c r="D3" s="31" t="s">
        <v>50</v>
      </c>
      <c r="E3" s="31" t="s">
        <v>51</v>
      </c>
      <c r="F3" s="34" t="s">
        <v>1108</v>
      </c>
      <c r="G3" s="34" t="s">
        <v>297</v>
      </c>
      <c r="H3" s="34" t="s">
        <v>299</v>
      </c>
      <c r="I3" s="34" t="s">
        <v>402</v>
      </c>
      <c r="J3" s="36" t="s">
        <v>69</v>
      </c>
      <c r="K3" s="30" t="s">
        <v>48</v>
      </c>
      <c r="L3" s="26"/>
      <c r="M3" s="26"/>
      <c r="N3" s="26"/>
    </row>
    <row r="4" spans="1:25" s="25" customFormat="1">
      <c r="A4" s="26"/>
      <c r="B4" s="32" t="s">
        <v>1109</v>
      </c>
      <c r="C4" s="32" t="s">
        <v>1110</v>
      </c>
      <c r="D4" s="33" t="s">
        <v>1111</v>
      </c>
      <c r="E4" s="35" t="s">
        <v>1111</v>
      </c>
      <c r="F4" s="32">
        <v>1</v>
      </c>
      <c r="G4" s="32"/>
      <c r="H4" s="32"/>
      <c r="I4" s="32" t="s">
        <v>1112</v>
      </c>
      <c r="J4" s="32" t="s">
        <v>417</v>
      </c>
      <c r="K4" s="32" t="s">
        <v>418</v>
      </c>
      <c r="L4" s="26"/>
      <c r="M4" s="26"/>
      <c r="N4" s="26"/>
    </row>
    <row r="5" spans="1:25" s="25" customFormat="1">
      <c r="A5" s="26"/>
      <c r="B5" s="32" t="s">
        <v>1113</v>
      </c>
      <c r="C5" s="32" t="s">
        <v>1114</v>
      </c>
      <c r="D5" s="33" t="s">
        <v>1115</v>
      </c>
      <c r="E5" s="35" t="s">
        <v>1115</v>
      </c>
      <c r="F5" s="32">
        <v>2</v>
      </c>
      <c r="G5" s="32"/>
      <c r="H5" s="32"/>
      <c r="I5" s="32" t="s">
        <v>1116</v>
      </c>
      <c r="J5" s="32" t="s">
        <v>417</v>
      </c>
      <c r="K5" s="32" t="s">
        <v>418</v>
      </c>
      <c r="L5" s="26"/>
      <c r="M5" s="26"/>
      <c r="N5" s="26"/>
    </row>
    <row r="6" spans="1:25" s="25" customFormat="1">
      <c r="A6" s="26"/>
      <c r="B6" s="32" t="s">
        <v>1117</v>
      </c>
      <c r="C6" s="32" t="s">
        <v>1118</v>
      </c>
      <c r="D6" s="33" t="s">
        <v>1119</v>
      </c>
      <c r="E6" s="35" t="s">
        <v>1119</v>
      </c>
      <c r="F6" s="32">
        <v>4</v>
      </c>
      <c r="G6" s="32"/>
      <c r="H6" s="32"/>
      <c r="I6" s="32" t="s">
        <v>1120</v>
      </c>
      <c r="J6" s="32" t="s">
        <v>417</v>
      </c>
      <c r="K6" s="32" t="s">
        <v>418</v>
      </c>
      <c r="L6" s="26"/>
      <c r="M6" s="26"/>
      <c r="N6" s="26"/>
    </row>
    <row r="7" spans="1:25" s="25" customFormat="1">
      <c r="A7" s="26"/>
      <c r="B7" s="32"/>
      <c r="C7" s="32"/>
      <c r="D7" s="32"/>
      <c r="E7" s="32"/>
      <c r="F7" s="26"/>
      <c r="G7" s="26"/>
      <c r="H7" s="26"/>
      <c r="I7" s="26"/>
      <c r="J7" s="26"/>
      <c r="K7" s="26"/>
      <c r="L7" s="26"/>
      <c r="M7" s="26"/>
      <c r="N7" s="26"/>
      <c r="O7" s="26"/>
      <c r="P7" s="37"/>
      <c r="Q7" s="32"/>
      <c r="R7" s="26"/>
      <c r="S7" s="26"/>
      <c r="T7" s="26"/>
    </row>
    <row r="8" spans="1:25" s="25" customFormat="1">
      <c r="A8" s="30" t="s">
        <v>24</v>
      </c>
      <c r="B8" s="30" t="s">
        <v>43</v>
      </c>
      <c r="C8" s="31" t="s">
        <v>81</v>
      </c>
      <c r="D8" s="31" t="s">
        <v>76</v>
      </c>
      <c r="E8" s="31" t="s">
        <v>79</v>
      </c>
      <c r="F8" s="31" t="s">
        <v>83</v>
      </c>
      <c r="G8" s="31" t="s">
        <v>82</v>
      </c>
      <c r="H8" s="31" t="s">
        <v>78</v>
      </c>
      <c r="I8" s="31" t="s">
        <v>80</v>
      </c>
      <c r="J8" s="31" t="s">
        <v>84</v>
      </c>
      <c r="K8" s="31" t="s">
        <v>85</v>
      </c>
      <c r="L8" s="30" t="s">
        <v>48</v>
      </c>
    </row>
    <row r="9" spans="1:25" s="25" customFormat="1">
      <c r="A9" s="26"/>
      <c r="B9" s="32" t="s">
        <v>1121</v>
      </c>
      <c r="C9" s="32" t="s">
        <v>1109</v>
      </c>
      <c r="D9" s="32" t="s">
        <v>1110</v>
      </c>
      <c r="E9" s="26" t="s">
        <v>328</v>
      </c>
      <c r="F9" s="26" t="s">
        <v>324</v>
      </c>
      <c r="G9" s="26" t="s">
        <v>1070</v>
      </c>
      <c r="H9" s="26" t="s">
        <v>1058</v>
      </c>
      <c r="I9" s="26" t="s">
        <v>309</v>
      </c>
      <c r="J9" s="26">
        <v>10</v>
      </c>
      <c r="K9" s="26" t="b">
        <v>1</v>
      </c>
      <c r="L9" s="26" t="s">
        <v>418</v>
      </c>
    </row>
    <row r="10" spans="1:25" s="25" customFormat="1">
      <c r="A10" s="26"/>
      <c r="B10" s="32" t="s">
        <v>1122</v>
      </c>
      <c r="C10" s="32" t="s">
        <v>1113</v>
      </c>
      <c r="D10" s="32" t="s">
        <v>1114</v>
      </c>
      <c r="E10" s="26" t="s">
        <v>328</v>
      </c>
      <c r="F10" s="26" t="s">
        <v>324</v>
      </c>
      <c r="G10" s="26" t="s">
        <v>1073</v>
      </c>
      <c r="H10" s="26" t="s">
        <v>1064</v>
      </c>
      <c r="I10" s="26" t="s">
        <v>309</v>
      </c>
      <c r="J10" s="26">
        <v>11</v>
      </c>
      <c r="K10" s="26" t="b">
        <v>1</v>
      </c>
      <c r="L10" s="26" t="s">
        <v>418</v>
      </c>
    </row>
    <row r="11" spans="1:25" s="25" customFormat="1">
      <c r="A11" s="26"/>
      <c r="B11" s="32" t="s">
        <v>1123</v>
      </c>
      <c r="C11" s="32" t="s">
        <v>1117</v>
      </c>
      <c r="D11" s="32" t="s">
        <v>1118</v>
      </c>
      <c r="E11" s="26" t="s">
        <v>328</v>
      </c>
      <c r="F11" s="26" t="s">
        <v>324</v>
      </c>
      <c r="G11" s="26" t="s">
        <v>1073</v>
      </c>
      <c r="H11" s="26" t="s">
        <v>1064</v>
      </c>
      <c r="I11" s="26" t="s">
        <v>309</v>
      </c>
      <c r="J11" s="26">
        <v>12</v>
      </c>
      <c r="K11" s="26" t="b">
        <v>1</v>
      </c>
      <c r="L11" s="26" t="s">
        <v>418</v>
      </c>
    </row>
    <row r="12" spans="1:25" s="25" customFormat="1"/>
    <row r="13" spans="1:25" s="25" customFormat="1">
      <c r="A13" s="30" t="s">
        <v>24</v>
      </c>
      <c r="B13" s="30" t="s">
        <v>43</v>
      </c>
      <c r="C13" s="31" t="s">
        <v>81</v>
      </c>
      <c r="D13" s="31" t="s">
        <v>76</v>
      </c>
      <c r="E13" s="31" t="s">
        <v>79</v>
      </c>
      <c r="F13" s="31" t="s">
        <v>83</v>
      </c>
      <c r="G13" s="31" t="s">
        <v>82</v>
      </c>
      <c r="H13" s="31" t="s">
        <v>78</v>
      </c>
      <c r="I13" s="31" t="s">
        <v>80</v>
      </c>
      <c r="J13" s="31" t="s">
        <v>84</v>
      </c>
      <c r="K13" s="31" t="s">
        <v>85</v>
      </c>
      <c r="L13" s="30" t="s">
        <v>48</v>
      </c>
    </row>
    <row r="14" spans="1:25" s="25" customFormat="1">
      <c r="B14" s="26" t="s">
        <v>1124</v>
      </c>
      <c r="C14" s="26" t="s">
        <v>1109</v>
      </c>
      <c r="D14" s="26" t="s">
        <v>1110</v>
      </c>
      <c r="E14" s="26" t="s">
        <v>328</v>
      </c>
      <c r="F14" s="26" t="s">
        <v>340</v>
      </c>
      <c r="G14" s="26" t="s">
        <v>1113</v>
      </c>
      <c r="H14" s="26" t="s">
        <v>1114</v>
      </c>
      <c r="I14" s="26" t="s">
        <v>328</v>
      </c>
      <c r="J14" s="26">
        <v>10</v>
      </c>
      <c r="K14" s="26" t="b">
        <v>1</v>
      </c>
      <c r="L14" s="26" t="s">
        <v>418</v>
      </c>
    </row>
    <row r="15" spans="1:25" s="25" customFormat="1">
      <c r="B15" s="26" t="s">
        <v>1125</v>
      </c>
      <c r="C15" s="26" t="s">
        <v>1113</v>
      </c>
      <c r="D15" s="26" t="s">
        <v>1114</v>
      </c>
      <c r="E15" s="26" t="s">
        <v>328</v>
      </c>
      <c r="F15" s="26" t="s">
        <v>340</v>
      </c>
      <c r="G15" s="26" t="s">
        <v>1117</v>
      </c>
      <c r="H15" s="26" t="s">
        <v>1118</v>
      </c>
      <c r="I15" s="26" t="s">
        <v>328</v>
      </c>
      <c r="J15" s="26">
        <v>11</v>
      </c>
      <c r="K15" s="26" t="b">
        <v>1</v>
      </c>
      <c r="L15" s="26" t="s">
        <v>418</v>
      </c>
    </row>
    <row r="16" spans="1:25" s="25" customFormat="1"/>
    <row r="17" spans="1:12" s="25" customFormat="1">
      <c r="A17" s="30" t="s">
        <v>24</v>
      </c>
      <c r="B17" s="30" t="s">
        <v>43</v>
      </c>
      <c r="C17" s="31" t="s">
        <v>81</v>
      </c>
      <c r="D17" s="31" t="s">
        <v>76</v>
      </c>
      <c r="E17" s="31" t="s">
        <v>79</v>
      </c>
      <c r="F17" s="31" t="s">
        <v>83</v>
      </c>
      <c r="G17" s="31" t="s">
        <v>82</v>
      </c>
      <c r="H17" s="31" t="s">
        <v>78</v>
      </c>
      <c r="I17" s="31" t="s">
        <v>80</v>
      </c>
      <c r="J17" s="31" t="s">
        <v>84</v>
      </c>
      <c r="K17" s="31" t="s">
        <v>85</v>
      </c>
      <c r="L17" s="30" t="s">
        <v>48</v>
      </c>
    </row>
    <row r="18" spans="1:12" s="25" customFormat="1">
      <c r="B18" s="32" t="s">
        <v>1126</v>
      </c>
      <c r="C18" s="32" t="s">
        <v>1113</v>
      </c>
      <c r="D18" s="32" t="s">
        <v>1114</v>
      </c>
      <c r="E18" s="26" t="s">
        <v>328</v>
      </c>
      <c r="F18" s="26" t="s">
        <v>343</v>
      </c>
      <c r="G18" s="26" t="s">
        <v>1109</v>
      </c>
      <c r="H18" s="26" t="s">
        <v>1110</v>
      </c>
      <c r="I18" s="26" t="s">
        <v>328</v>
      </c>
      <c r="J18" s="26">
        <v>10</v>
      </c>
      <c r="K18" s="26" t="b">
        <v>1</v>
      </c>
      <c r="L18" s="26" t="s">
        <v>418</v>
      </c>
    </row>
    <row r="19" spans="1:12" s="25" customFormat="1">
      <c r="B19" s="32" t="s">
        <v>1127</v>
      </c>
      <c r="C19" s="32" t="s">
        <v>1117</v>
      </c>
      <c r="D19" s="32" t="s">
        <v>1118</v>
      </c>
      <c r="E19" s="26" t="s">
        <v>328</v>
      </c>
      <c r="F19" s="26" t="s">
        <v>343</v>
      </c>
      <c r="G19" s="32" t="s">
        <v>1109</v>
      </c>
      <c r="H19" s="32" t="s">
        <v>1110</v>
      </c>
      <c r="I19" s="26" t="s">
        <v>328</v>
      </c>
      <c r="J19" s="26">
        <v>11</v>
      </c>
      <c r="K19" s="26" t="b">
        <v>1</v>
      </c>
      <c r="L19" s="26" t="s">
        <v>418</v>
      </c>
    </row>
    <row r="20" spans="1:12" s="25" customFormat="1"/>
    <row r="21" spans="1:12" s="25" customFormat="1">
      <c r="A21" s="30" t="s">
        <v>24</v>
      </c>
      <c r="B21" s="30" t="s">
        <v>43</v>
      </c>
      <c r="C21" s="31" t="s">
        <v>81</v>
      </c>
      <c r="D21" s="31" t="s">
        <v>76</v>
      </c>
      <c r="E21" s="31" t="s">
        <v>79</v>
      </c>
      <c r="F21" s="31" t="s">
        <v>83</v>
      </c>
      <c r="G21" s="31" t="s">
        <v>82</v>
      </c>
      <c r="H21" s="31" t="s">
        <v>78</v>
      </c>
      <c r="I21" s="31" t="s">
        <v>80</v>
      </c>
      <c r="J21" s="31" t="s">
        <v>84</v>
      </c>
      <c r="K21" s="31" t="s">
        <v>85</v>
      </c>
      <c r="L21" s="30" t="s">
        <v>48</v>
      </c>
    </row>
    <row r="22" spans="1:12" s="25" customFormat="1">
      <c r="B22" s="26" t="s">
        <v>1128</v>
      </c>
      <c r="C22" s="26" t="s">
        <v>1117</v>
      </c>
      <c r="D22" s="26" t="s">
        <v>1118</v>
      </c>
      <c r="E22" s="26" t="s">
        <v>328</v>
      </c>
      <c r="F22" s="26" t="s">
        <v>346</v>
      </c>
      <c r="G22" s="26" t="s">
        <v>1129</v>
      </c>
      <c r="H22" s="26" t="s">
        <v>1082</v>
      </c>
      <c r="I22" s="26" t="s">
        <v>315</v>
      </c>
      <c r="J22" s="26">
        <v>10</v>
      </c>
      <c r="K22" s="26" t="b">
        <v>1</v>
      </c>
      <c r="L22" s="26" t="s">
        <v>418</v>
      </c>
    </row>
    <row r="23" spans="1:12" s="25" customFormat="1"/>
    <row r="24" spans="1:12" s="25" customFormat="1">
      <c r="A24" s="30" t="s">
        <v>24</v>
      </c>
      <c r="B24" s="30" t="s">
        <v>43</v>
      </c>
      <c r="C24" s="31" t="s">
        <v>81</v>
      </c>
      <c r="D24" s="31" t="s">
        <v>76</v>
      </c>
      <c r="E24" s="31" t="s">
        <v>79</v>
      </c>
      <c r="F24" s="31" t="s">
        <v>83</v>
      </c>
      <c r="G24" s="31" t="s">
        <v>82</v>
      </c>
      <c r="H24" s="31" t="s">
        <v>78</v>
      </c>
      <c r="I24" s="31" t="s">
        <v>80</v>
      </c>
      <c r="J24" s="31" t="s">
        <v>84</v>
      </c>
      <c r="K24" s="31" t="s">
        <v>85</v>
      </c>
      <c r="L24" s="30" t="s">
        <v>48</v>
      </c>
    </row>
    <row r="25" spans="1:12" s="25" customFormat="1">
      <c r="B25" s="26" t="s">
        <v>1130</v>
      </c>
      <c r="C25" s="32" t="s">
        <v>1113</v>
      </c>
      <c r="D25" s="32" t="s">
        <v>1114</v>
      </c>
      <c r="E25" s="26" t="s">
        <v>328</v>
      </c>
      <c r="F25" s="26" t="s">
        <v>349</v>
      </c>
      <c r="G25" s="26" t="s">
        <v>1131</v>
      </c>
      <c r="H25" s="32" t="s">
        <v>1087</v>
      </c>
      <c r="I25" s="26" t="s">
        <v>315</v>
      </c>
      <c r="J25" s="26">
        <v>10</v>
      </c>
      <c r="K25" s="26" t="b">
        <v>1</v>
      </c>
      <c r="L25" s="26" t="s">
        <v>418</v>
      </c>
    </row>
    <row r="26" spans="1:12" s="25" customFormat="1">
      <c r="B26" s="26" t="s">
        <v>1132</v>
      </c>
      <c r="C26" s="26" t="s">
        <v>1117</v>
      </c>
      <c r="D26" s="26" t="s">
        <v>1118</v>
      </c>
      <c r="E26" s="26" t="s">
        <v>328</v>
      </c>
      <c r="F26" s="26" t="s">
        <v>346</v>
      </c>
      <c r="G26" s="26" t="s">
        <v>1131</v>
      </c>
      <c r="H26" s="32" t="s">
        <v>1087</v>
      </c>
      <c r="I26" s="26" t="s">
        <v>315</v>
      </c>
      <c r="J26" s="26">
        <v>11</v>
      </c>
      <c r="K26" s="26" t="b">
        <v>1</v>
      </c>
      <c r="L26" s="26" t="s">
        <v>418</v>
      </c>
    </row>
    <row r="27" spans="1:12" s="25" customFormat="1"/>
    <row r="28" spans="1:12" s="25" customFormat="1">
      <c r="A28" s="30" t="s">
        <v>24</v>
      </c>
      <c r="B28" s="30" t="s">
        <v>43</v>
      </c>
      <c r="C28" s="31" t="s">
        <v>81</v>
      </c>
      <c r="D28" s="31" t="s">
        <v>76</v>
      </c>
      <c r="E28" s="31" t="s">
        <v>79</v>
      </c>
      <c r="F28" s="31" t="s">
        <v>83</v>
      </c>
      <c r="G28" s="31" t="s">
        <v>82</v>
      </c>
      <c r="H28" s="31" t="s">
        <v>78</v>
      </c>
      <c r="I28" s="31" t="s">
        <v>80</v>
      </c>
      <c r="J28" s="31" t="s">
        <v>84</v>
      </c>
      <c r="K28" s="31" t="s">
        <v>85</v>
      </c>
      <c r="L28" s="30" t="s">
        <v>48</v>
      </c>
    </row>
    <row r="29" spans="1:12" s="25" customFormat="1">
      <c r="B29" s="26" t="s">
        <v>1133</v>
      </c>
      <c r="C29" s="26" t="s">
        <v>1109</v>
      </c>
      <c r="D29" s="26" t="s">
        <v>1110</v>
      </c>
      <c r="E29" s="26" t="s">
        <v>328</v>
      </c>
      <c r="F29" s="26" t="s">
        <v>684</v>
      </c>
      <c r="G29" s="26" t="s">
        <v>1098</v>
      </c>
      <c r="H29" s="26" t="s">
        <v>1099</v>
      </c>
      <c r="I29" s="26" t="s">
        <v>355</v>
      </c>
      <c r="J29" s="26">
        <v>10</v>
      </c>
      <c r="K29" s="26" t="b">
        <v>1</v>
      </c>
      <c r="L29" s="26" t="s">
        <v>418</v>
      </c>
    </row>
    <row r="30" spans="1:12" s="25" customFormat="1">
      <c r="B30" s="26" t="s">
        <v>1134</v>
      </c>
      <c r="C30" s="26" t="s">
        <v>1113</v>
      </c>
      <c r="D30" s="26" t="s">
        <v>1114</v>
      </c>
      <c r="E30" s="26" t="s">
        <v>328</v>
      </c>
      <c r="F30" s="26" t="s">
        <v>684</v>
      </c>
      <c r="G30" s="26" t="s">
        <v>1101</v>
      </c>
      <c r="H30" s="26" t="s">
        <v>1099</v>
      </c>
      <c r="I30" s="26" t="s">
        <v>355</v>
      </c>
      <c r="J30" s="26">
        <v>11</v>
      </c>
      <c r="K30" s="26" t="b">
        <v>1</v>
      </c>
      <c r="L30" s="26" t="s">
        <v>418</v>
      </c>
    </row>
    <row r="31" spans="1:12" s="25" customFormat="1">
      <c r="B31" s="26" t="s">
        <v>1135</v>
      </c>
      <c r="C31" s="26" t="s">
        <v>1117</v>
      </c>
      <c r="D31" s="26" t="s">
        <v>1118</v>
      </c>
      <c r="E31" s="26" t="s">
        <v>328</v>
      </c>
      <c r="F31" s="26" t="s">
        <v>684</v>
      </c>
      <c r="G31" s="26" t="s">
        <v>1102</v>
      </c>
      <c r="H31" s="26" t="s">
        <v>1099</v>
      </c>
      <c r="I31" s="26" t="s">
        <v>355</v>
      </c>
      <c r="J31" s="26">
        <v>12</v>
      </c>
      <c r="K31" s="26" t="b">
        <v>1</v>
      </c>
      <c r="L31" s="26" t="s">
        <v>418</v>
      </c>
    </row>
    <row r="33" spans="1:12">
      <c r="A33" s="30" t="s">
        <v>24</v>
      </c>
      <c r="B33" s="30" t="s">
        <v>43</v>
      </c>
      <c r="C33" s="31" t="s">
        <v>81</v>
      </c>
      <c r="D33" s="31" t="s">
        <v>76</v>
      </c>
      <c r="E33" s="31" t="s">
        <v>79</v>
      </c>
      <c r="F33" s="31" t="s">
        <v>83</v>
      </c>
      <c r="G33" s="31" t="s">
        <v>82</v>
      </c>
      <c r="H33" s="31" t="s">
        <v>78</v>
      </c>
      <c r="I33" s="31" t="s">
        <v>80</v>
      </c>
      <c r="J33" s="31" t="s">
        <v>84</v>
      </c>
      <c r="K33" s="31" t="s">
        <v>85</v>
      </c>
      <c r="L33" s="30" t="s">
        <v>48</v>
      </c>
    </row>
    <row r="34" spans="1:12">
      <c r="A34" s="32" t="s">
        <v>715</v>
      </c>
      <c r="F34" s="26" t="s">
        <v>744</v>
      </c>
    </row>
    <row r="36" spans="1:12">
      <c r="A36" s="30" t="s">
        <v>24</v>
      </c>
      <c r="B36" s="30" t="s">
        <v>43</v>
      </c>
      <c r="C36" s="31" t="s">
        <v>81</v>
      </c>
      <c r="D36" s="31" t="s">
        <v>76</v>
      </c>
      <c r="E36" s="31" t="s">
        <v>79</v>
      </c>
      <c r="F36" s="31" t="s">
        <v>83</v>
      </c>
      <c r="G36" s="31" t="s">
        <v>82</v>
      </c>
      <c r="H36" s="31" t="s">
        <v>78</v>
      </c>
      <c r="I36" s="31" t="s">
        <v>80</v>
      </c>
      <c r="J36" s="31" t="s">
        <v>84</v>
      </c>
      <c r="K36" s="31" t="s">
        <v>85</v>
      </c>
      <c r="L36" s="30" t="s">
        <v>48</v>
      </c>
    </row>
    <row r="37" spans="1:12">
      <c r="A37" s="32" t="s">
        <v>715</v>
      </c>
      <c r="F37" s="26" t="s">
        <v>747</v>
      </c>
    </row>
  </sheetData>
  <sheetProtection formatCells="0" insertHyperlinks="0" autoFilter="0"/>
  <mergeCells count="1">
    <mergeCell ref="A1:Y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21"/>
  <sheetViews>
    <sheetView zoomScale="60" zoomScaleNormal="60" workbookViewId="0">
      <selection activeCell="E3" sqref="E3"/>
    </sheetView>
  </sheetViews>
  <sheetFormatPr defaultColWidth="9" defaultRowHeight="25.5"/>
  <cols>
    <col min="1" max="1" width="19.7109375" style="14" customWidth="1"/>
    <col min="2" max="2" width="127" style="14" customWidth="1"/>
    <col min="3" max="3" width="47.28515625" style="14" customWidth="1"/>
    <col min="4" max="4" width="36.5703125" style="14" customWidth="1"/>
    <col min="5" max="5" width="39.42578125" style="14" customWidth="1"/>
    <col min="6" max="8" width="59.140625" style="14" customWidth="1"/>
    <col min="9" max="9" width="42.7109375" style="14" customWidth="1"/>
    <col min="10" max="10" width="32.140625" style="14" customWidth="1"/>
    <col min="11" max="11" width="50.7109375" style="14" customWidth="1"/>
    <col min="12" max="12" width="19.140625" style="14" customWidth="1"/>
    <col min="13" max="14" width="19" style="14" customWidth="1"/>
    <col min="15" max="15" width="17.140625" style="14" customWidth="1"/>
    <col min="16" max="16384" width="9" style="14"/>
  </cols>
  <sheetData>
    <row r="1" spans="1:15" customFormat="1" ht="27.75">
      <c r="A1" s="340" t="s">
        <v>1136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</row>
    <row r="2" spans="1:15" customFormat="1">
      <c r="A2" s="15"/>
      <c r="B2" s="15"/>
      <c r="C2" s="16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customFormat="1">
      <c r="A3" s="17" t="s">
        <v>305</v>
      </c>
      <c r="B3" s="18" t="s">
        <v>43</v>
      </c>
      <c r="C3" s="19" t="s">
        <v>46</v>
      </c>
      <c r="D3" s="19" t="s">
        <v>50</v>
      </c>
      <c r="E3" s="19" t="s">
        <v>51</v>
      </c>
      <c r="F3" s="19" t="s">
        <v>370</v>
      </c>
      <c r="G3" s="22" t="s">
        <v>388</v>
      </c>
      <c r="H3" s="22" t="s">
        <v>69</v>
      </c>
      <c r="I3" s="18" t="s">
        <v>48</v>
      </c>
      <c r="J3" s="15"/>
      <c r="K3" s="15"/>
      <c r="L3" s="15"/>
    </row>
    <row r="4" spans="1:15" customFormat="1" ht="26.25">
      <c r="B4" s="14" t="s">
        <v>1137</v>
      </c>
      <c r="C4" s="20" t="s">
        <v>1138</v>
      </c>
      <c r="D4" s="21" t="s">
        <v>1139</v>
      </c>
      <c r="E4" s="21" t="s">
        <v>1139</v>
      </c>
      <c r="F4" s="21" t="s">
        <v>1140</v>
      </c>
      <c r="G4" s="21" t="s">
        <v>517</v>
      </c>
      <c r="H4" s="23" t="s">
        <v>417</v>
      </c>
      <c r="I4" s="20" t="s">
        <v>418</v>
      </c>
    </row>
    <row r="5" spans="1:15" customFormat="1" ht="15"/>
    <row r="6" spans="1:15" customFormat="1">
      <c r="A6" s="18" t="s">
        <v>24</v>
      </c>
      <c r="B6" s="18" t="s">
        <v>43</v>
      </c>
      <c r="C6" s="19" t="s">
        <v>81</v>
      </c>
      <c r="D6" s="19" t="s">
        <v>76</v>
      </c>
      <c r="E6" s="19" t="s">
        <v>79</v>
      </c>
      <c r="F6" s="19" t="s">
        <v>83</v>
      </c>
      <c r="G6" s="19" t="s">
        <v>82</v>
      </c>
      <c r="H6" s="19" t="s">
        <v>78</v>
      </c>
      <c r="I6" s="19" t="s">
        <v>80</v>
      </c>
      <c r="J6" s="19" t="s">
        <v>84</v>
      </c>
      <c r="K6" s="19" t="s">
        <v>85</v>
      </c>
      <c r="L6" s="18" t="s">
        <v>48</v>
      </c>
    </row>
    <row r="7" spans="1:15" customFormat="1">
      <c r="A7" s="14" t="s">
        <v>715</v>
      </c>
      <c r="B7" s="14" t="s">
        <v>1141</v>
      </c>
      <c r="C7" s="14" t="s">
        <v>1137</v>
      </c>
      <c r="D7" s="14" t="s">
        <v>1138</v>
      </c>
      <c r="E7" s="14" t="s">
        <v>306</v>
      </c>
      <c r="F7" s="14" t="s">
        <v>334</v>
      </c>
      <c r="G7" s="14" t="s">
        <v>1142</v>
      </c>
      <c r="H7" s="14" t="s">
        <v>1090</v>
      </c>
      <c r="I7" s="24" t="s">
        <v>318</v>
      </c>
      <c r="J7" s="14">
        <v>10</v>
      </c>
      <c r="K7" s="14" t="b">
        <v>1</v>
      </c>
      <c r="L7" s="20" t="s">
        <v>418</v>
      </c>
    </row>
    <row r="8" spans="1:15" customFormat="1" ht="15"/>
    <row r="9" spans="1:15" customFormat="1">
      <c r="A9" s="18" t="s">
        <v>24</v>
      </c>
      <c r="B9" s="18" t="s">
        <v>43</v>
      </c>
      <c r="C9" s="19" t="s">
        <v>81</v>
      </c>
      <c r="D9" s="19" t="s">
        <v>76</v>
      </c>
      <c r="E9" s="19" t="s">
        <v>79</v>
      </c>
      <c r="F9" s="19" t="s">
        <v>83</v>
      </c>
      <c r="G9" s="19" t="s">
        <v>82</v>
      </c>
      <c r="H9" s="19" t="s">
        <v>78</v>
      </c>
      <c r="I9" s="19" t="s">
        <v>80</v>
      </c>
      <c r="J9" s="19" t="s">
        <v>84</v>
      </c>
      <c r="K9" s="19" t="s">
        <v>85</v>
      </c>
      <c r="L9" s="18" t="s">
        <v>48</v>
      </c>
    </row>
    <row r="10" spans="1:15" customFormat="1" ht="30.95" customHeight="1">
      <c r="B10" s="14" t="s">
        <v>1143</v>
      </c>
      <c r="C10" s="14" t="s">
        <v>1137</v>
      </c>
      <c r="D10" s="14" t="s">
        <v>1138</v>
      </c>
      <c r="E10" s="14" t="s">
        <v>306</v>
      </c>
      <c r="F10" s="14" t="s">
        <v>331</v>
      </c>
      <c r="G10" s="14" t="s">
        <v>1144</v>
      </c>
      <c r="H10" s="14" t="s">
        <v>166</v>
      </c>
      <c r="I10" s="24" t="s">
        <v>321</v>
      </c>
      <c r="J10" s="14">
        <v>10</v>
      </c>
      <c r="K10" s="14" t="b">
        <v>1</v>
      </c>
      <c r="L10" s="20" t="s">
        <v>418</v>
      </c>
    </row>
    <row r="11" spans="1:15" customFormat="1" ht="15"/>
    <row r="12" spans="1:15" customFormat="1">
      <c r="A12" s="18" t="s">
        <v>24</v>
      </c>
      <c r="B12" s="18" t="s">
        <v>43</v>
      </c>
      <c r="C12" s="19" t="s">
        <v>81</v>
      </c>
      <c r="D12" s="19" t="s">
        <v>76</v>
      </c>
      <c r="E12" s="19" t="s">
        <v>79</v>
      </c>
      <c r="F12" s="19" t="s">
        <v>83</v>
      </c>
      <c r="G12" s="19" t="s">
        <v>82</v>
      </c>
      <c r="H12" s="19" t="s">
        <v>78</v>
      </c>
      <c r="I12" s="19" t="s">
        <v>80</v>
      </c>
      <c r="J12" s="19" t="s">
        <v>84</v>
      </c>
      <c r="K12" s="19" t="s">
        <v>85</v>
      </c>
      <c r="L12" s="18" t="s">
        <v>48</v>
      </c>
    </row>
    <row r="13" spans="1:15" customFormat="1">
      <c r="B13" s="14" t="s">
        <v>1145</v>
      </c>
      <c r="C13" s="14" t="s">
        <v>1137</v>
      </c>
      <c r="D13" s="20" t="s">
        <v>1138</v>
      </c>
      <c r="E13" s="14" t="s">
        <v>306</v>
      </c>
      <c r="F13" s="14" t="s">
        <v>670</v>
      </c>
      <c r="G13" s="14" t="s">
        <v>1109</v>
      </c>
      <c r="H13" s="20" t="s">
        <v>1110</v>
      </c>
      <c r="I13" s="14" t="s">
        <v>328</v>
      </c>
      <c r="J13" s="14">
        <v>10</v>
      </c>
      <c r="K13" s="14" t="b">
        <v>1</v>
      </c>
      <c r="L13" s="20" t="s">
        <v>418</v>
      </c>
    </row>
    <row r="14" spans="1:15" customFormat="1">
      <c r="B14" s="14" t="s">
        <v>1146</v>
      </c>
      <c r="C14" s="14" t="s">
        <v>1137</v>
      </c>
      <c r="D14" s="20" t="s">
        <v>1138</v>
      </c>
      <c r="E14" s="14" t="s">
        <v>306</v>
      </c>
      <c r="F14" s="14" t="s">
        <v>670</v>
      </c>
      <c r="G14" s="14" t="s">
        <v>1113</v>
      </c>
      <c r="H14" s="20" t="s">
        <v>1114</v>
      </c>
      <c r="I14" s="14" t="s">
        <v>328</v>
      </c>
      <c r="J14" s="14">
        <v>11</v>
      </c>
      <c r="K14" s="14" t="b">
        <v>1</v>
      </c>
      <c r="L14" s="20" t="s">
        <v>418</v>
      </c>
    </row>
    <row r="15" spans="1:15" customFormat="1">
      <c r="B15" s="14" t="s">
        <v>1147</v>
      </c>
      <c r="C15" s="14" t="s">
        <v>1137</v>
      </c>
      <c r="D15" s="20" t="s">
        <v>1138</v>
      </c>
      <c r="E15" s="14" t="s">
        <v>306</v>
      </c>
      <c r="F15" s="14" t="s">
        <v>670</v>
      </c>
      <c r="G15" s="14" t="s">
        <v>1117</v>
      </c>
      <c r="H15" s="20" t="s">
        <v>1118</v>
      </c>
      <c r="I15" s="14" t="s">
        <v>328</v>
      </c>
      <c r="J15" s="14">
        <v>12</v>
      </c>
      <c r="K15" s="14" t="b">
        <v>1</v>
      </c>
      <c r="L15" s="20" t="s">
        <v>418</v>
      </c>
    </row>
    <row r="16" spans="1:15" customFormat="1" ht="15"/>
    <row r="17" spans="1:12" customFormat="1">
      <c r="A17" s="18" t="s">
        <v>24</v>
      </c>
      <c r="B17" s="18" t="s">
        <v>43</v>
      </c>
      <c r="C17" s="19" t="s">
        <v>81</v>
      </c>
      <c r="D17" s="19" t="s">
        <v>76</v>
      </c>
      <c r="E17" s="19" t="s">
        <v>79</v>
      </c>
      <c r="F17" s="19" t="s">
        <v>83</v>
      </c>
      <c r="G17" s="19" t="s">
        <v>82</v>
      </c>
      <c r="H17" s="19" t="s">
        <v>78</v>
      </c>
      <c r="I17" s="19" t="s">
        <v>80</v>
      </c>
      <c r="J17" s="19" t="s">
        <v>84</v>
      </c>
      <c r="K17" s="19" t="s">
        <v>85</v>
      </c>
      <c r="L17" s="18" t="s">
        <v>48</v>
      </c>
    </row>
    <row r="18" spans="1:12" customFormat="1">
      <c r="B18" s="14" t="s">
        <v>1148</v>
      </c>
      <c r="C18" s="14" t="s">
        <v>1137</v>
      </c>
      <c r="D18" s="20" t="s">
        <v>1138</v>
      </c>
      <c r="E18" s="14" t="s">
        <v>306</v>
      </c>
      <c r="F18" s="14" t="s">
        <v>702</v>
      </c>
      <c r="G18" s="14" t="s">
        <v>1109</v>
      </c>
      <c r="H18" s="20" t="s">
        <v>1110</v>
      </c>
      <c r="I18" s="14" t="s">
        <v>328</v>
      </c>
      <c r="J18" s="14">
        <v>10</v>
      </c>
      <c r="K18" s="14" t="b">
        <v>1</v>
      </c>
      <c r="L18" s="20" t="s">
        <v>418</v>
      </c>
    </row>
    <row r="20" spans="1:12">
      <c r="A20" s="18" t="s">
        <v>24</v>
      </c>
      <c r="B20" s="18" t="s">
        <v>43</v>
      </c>
      <c r="C20" s="19" t="s">
        <v>81</v>
      </c>
      <c r="D20" s="19" t="s">
        <v>76</v>
      </c>
      <c r="E20" s="19" t="s">
        <v>79</v>
      </c>
      <c r="F20" s="19" t="s">
        <v>83</v>
      </c>
      <c r="G20" s="19" t="s">
        <v>82</v>
      </c>
      <c r="H20" s="19" t="s">
        <v>78</v>
      </c>
      <c r="I20" s="19" t="s">
        <v>80</v>
      </c>
      <c r="J20" s="19" t="s">
        <v>84</v>
      </c>
      <c r="K20" s="19" t="s">
        <v>85</v>
      </c>
      <c r="L20" s="18" t="s">
        <v>48</v>
      </c>
    </row>
    <row r="21" spans="1:12">
      <c r="B21" s="14" t="str">
        <f>F21&amp;"."&amp;C21&amp;"."&amp;G21</f>
        <v>WorkflowCategory.WFT_ModelDocReview.0.校审.</v>
      </c>
      <c r="C21" s="14" t="s">
        <v>1137</v>
      </c>
      <c r="D21" s="14" t="s">
        <v>1138</v>
      </c>
      <c r="E21" s="14" t="s">
        <v>306</v>
      </c>
      <c r="F21" s="14" t="s">
        <v>753</v>
      </c>
      <c r="G21" s="14" t="s">
        <v>1149</v>
      </c>
      <c r="H21" s="14" t="s">
        <v>1150</v>
      </c>
      <c r="I21" s="14" t="s">
        <v>408</v>
      </c>
      <c r="J21" s="14">
        <v>10</v>
      </c>
      <c r="K21" s="14" t="b">
        <v>1</v>
      </c>
      <c r="L21" s="20" t="s">
        <v>418</v>
      </c>
    </row>
  </sheetData>
  <sheetProtection formatCells="0" insertHyperlinks="0" autoFilter="0"/>
  <mergeCells count="1">
    <mergeCell ref="A1:O1"/>
  </mergeCells>
  <dataValidations count="1">
    <dataValidation type="list" errorStyle="information" allowBlank="1" showErrorMessage="1" errorTitle="错误提示" error="请输入下拉列表中的一个值" sqref="G4">
      <formula1>"一般,重要,紧急"</formula1>
    </dataValidation>
  </dataValidation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1"/>
  <sheetViews>
    <sheetView zoomScale="145" zoomScaleNormal="145" workbookViewId="0">
      <selection activeCell="K30" sqref="K30"/>
    </sheetView>
  </sheetViews>
  <sheetFormatPr defaultColWidth="9" defaultRowHeight="12"/>
  <cols>
    <col min="1" max="1" width="7.42578125" style="1" customWidth="1"/>
    <col min="2" max="2" width="52.85546875" style="1" customWidth="1"/>
    <col min="3" max="3" width="12.85546875" style="1" customWidth="1"/>
    <col min="4" max="4" width="13.7109375" style="1" customWidth="1"/>
    <col min="5" max="5" width="16.28515625" style="1" customWidth="1"/>
    <col min="6" max="6" width="23.7109375" style="1" customWidth="1"/>
    <col min="7" max="7" width="26.28515625" style="1" customWidth="1"/>
    <col min="8" max="8" width="22.85546875" style="1" customWidth="1"/>
    <col min="9" max="9" width="10.42578125" style="1" customWidth="1"/>
    <col min="10" max="10" width="26.28515625" style="1" customWidth="1"/>
    <col min="11" max="11" width="19.5703125" style="1" customWidth="1"/>
    <col min="12" max="12" width="8.140625" style="1" customWidth="1"/>
    <col min="13" max="14" width="8.85546875" style="1" customWidth="1"/>
    <col min="15" max="15" width="43.7109375" style="1" customWidth="1"/>
    <col min="16" max="16" width="12.140625" style="1" customWidth="1"/>
    <col min="17" max="17" width="10.42578125" style="1" customWidth="1"/>
    <col min="18" max="18" width="7.42578125" style="1" customWidth="1"/>
    <col min="19" max="19" width="10.42578125" style="1" customWidth="1"/>
    <col min="20" max="20" width="9.5703125" style="1" customWidth="1"/>
    <col min="21" max="22" width="10.42578125" style="1" customWidth="1"/>
    <col min="23" max="23" width="4.42578125" style="1" customWidth="1"/>
    <col min="24" max="24" width="39.5703125" style="1" customWidth="1"/>
    <col min="25" max="25" width="27.140625" style="1" customWidth="1"/>
    <col min="26" max="26" width="12.85546875" style="1" customWidth="1"/>
    <col min="27" max="27" width="4.42578125" style="3" customWidth="1"/>
    <col min="28" max="28" width="7.42578125" style="1" customWidth="1"/>
    <col min="29" max="30" width="9.5703125" style="1" customWidth="1"/>
    <col min="31" max="16384" width="9" style="1"/>
  </cols>
  <sheetData>
    <row r="1" spans="1:30">
      <c r="A1" s="342" t="s">
        <v>466</v>
      </c>
      <c r="B1" s="342"/>
      <c r="C1" s="342"/>
      <c r="D1" s="342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</row>
    <row r="2" spans="1:30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>
      <c r="A3" s="6" t="s">
        <v>407</v>
      </c>
      <c r="B3" s="7" t="s">
        <v>43</v>
      </c>
      <c r="C3" s="8" t="s">
        <v>46</v>
      </c>
      <c r="D3" s="8" t="s">
        <v>50</v>
      </c>
      <c r="E3" s="8" t="s">
        <v>51</v>
      </c>
      <c r="F3" s="8" t="s">
        <v>1151</v>
      </c>
      <c r="G3" s="8" t="s">
        <v>1152</v>
      </c>
      <c r="H3" s="8" t="s">
        <v>1153</v>
      </c>
      <c r="I3" s="8" t="s">
        <v>1154</v>
      </c>
      <c r="J3" s="8" t="s">
        <v>1155</v>
      </c>
      <c r="K3" s="7" t="s">
        <v>69</v>
      </c>
      <c r="L3" s="7" t="s">
        <v>48</v>
      </c>
      <c r="AA3" s="1"/>
    </row>
    <row r="4" spans="1:30" s="2" customFormat="1">
      <c r="A4" s="9"/>
      <c r="B4" s="9" t="str">
        <f>F4&amp;"."&amp;C4&amp;"."&amp;I4</f>
        <v>0.校审.</v>
      </c>
      <c r="C4" s="10" t="s">
        <v>1150</v>
      </c>
      <c r="D4" s="10" t="s">
        <v>1150</v>
      </c>
      <c r="E4" s="10" t="s">
        <v>1150</v>
      </c>
      <c r="F4" s="9">
        <v>0</v>
      </c>
      <c r="G4" s="9" t="s">
        <v>1149</v>
      </c>
      <c r="H4" s="10" t="s">
        <v>1150</v>
      </c>
      <c r="I4" s="9"/>
      <c r="J4" s="9">
        <v>10</v>
      </c>
      <c r="K4" s="9" t="s">
        <v>417</v>
      </c>
      <c r="L4" s="9" t="s">
        <v>418</v>
      </c>
    </row>
    <row r="5" spans="1:3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13"/>
      <c r="AB5" s="5"/>
      <c r="AC5" s="5"/>
      <c r="AD5" s="5"/>
    </row>
    <row r="6" spans="1:30">
      <c r="A6" s="7" t="s">
        <v>24</v>
      </c>
      <c r="B6" s="7" t="s">
        <v>43</v>
      </c>
      <c r="C6" s="11" t="s">
        <v>81</v>
      </c>
      <c r="D6" s="11" t="s">
        <v>76</v>
      </c>
      <c r="E6" s="11" t="s">
        <v>79</v>
      </c>
      <c r="F6" s="12" t="s">
        <v>83</v>
      </c>
      <c r="G6" s="11" t="s">
        <v>82</v>
      </c>
      <c r="H6" s="11" t="s">
        <v>78</v>
      </c>
      <c r="I6" s="11" t="s">
        <v>84</v>
      </c>
      <c r="J6" s="11" t="s">
        <v>85</v>
      </c>
      <c r="K6" s="7" t="s">
        <v>48</v>
      </c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</row>
    <row r="7" spans="1:30">
      <c r="A7" s="5"/>
      <c r="B7" s="5"/>
      <c r="C7" s="5"/>
      <c r="D7" s="5"/>
      <c r="E7" s="5"/>
      <c r="F7" s="5"/>
      <c r="G7" s="5"/>
      <c r="H7" s="5"/>
      <c r="I7" s="9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13"/>
      <c r="AB7" s="5"/>
      <c r="AC7" s="5"/>
      <c r="AD7" s="5"/>
    </row>
    <row r="8" spans="1:30">
      <c r="A8" s="5"/>
      <c r="B8" s="5"/>
      <c r="C8" s="5"/>
      <c r="D8" s="5"/>
      <c r="E8" s="5"/>
      <c r="F8" s="5"/>
      <c r="G8" s="5"/>
      <c r="H8" s="5"/>
      <c r="I8" s="9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13"/>
      <c r="AB8" s="5"/>
      <c r="AC8" s="5"/>
      <c r="AD8" s="5"/>
    </row>
    <row r="9" spans="1:30">
      <c r="A9" s="5"/>
      <c r="B9" s="5"/>
      <c r="C9" s="5"/>
      <c r="D9" s="5"/>
      <c r="E9" s="5"/>
      <c r="F9" s="5"/>
      <c r="G9" s="5"/>
      <c r="H9" s="5"/>
      <c r="I9" s="9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13"/>
      <c r="AB9" s="5"/>
      <c r="AC9" s="5"/>
      <c r="AD9" s="5"/>
    </row>
    <row r="10" spans="1:30">
      <c r="A10" s="5"/>
      <c r="B10" s="5"/>
      <c r="C10" s="5"/>
      <c r="D10" s="5"/>
      <c r="E10" s="5"/>
      <c r="F10" s="5"/>
      <c r="G10" s="5"/>
      <c r="H10" s="5"/>
      <c r="I10" s="9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13"/>
      <c r="AB10" s="5"/>
      <c r="AC10" s="5"/>
      <c r="AD10" s="5"/>
    </row>
    <row r="11" spans="1:30">
      <c r="A11" s="5"/>
      <c r="B11" s="5"/>
      <c r="C11" s="5"/>
      <c r="D11" s="5"/>
      <c r="E11" s="5"/>
      <c r="F11" s="5"/>
      <c r="G11" s="5"/>
      <c r="H11" s="5"/>
      <c r="I11" s="9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13"/>
      <c r="AB11" s="5"/>
      <c r="AC11" s="5"/>
      <c r="AD11" s="5"/>
    </row>
  </sheetData>
  <sheetProtection formatCells="0" insertHyperlinks="0" autoFilter="0"/>
  <mergeCells count="1">
    <mergeCell ref="A1:D1"/>
  </mergeCells>
  <dataValidations count="2">
    <dataValidation type="list" allowBlank="1" showInputMessage="1" showErrorMessage="1" sqref="AB12:AB1048576 Q12:V1048576">
      <formula1>"TRUE,FALSE"</formula1>
    </dataValidation>
    <dataValidation type="list" allowBlank="1" showInputMessage="1" showErrorMessage="1" sqref="F12:F1048576">
      <formula1>"ELT_TypeM,ELT_TypeC,ELT_TypeF,ELT_TypeSubApp"</formula1>
    </dataValidation>
  </dataValidation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utofilters xmlns="https://web.wps.cn/et/2018/main">
  <sheetItem sheetStid="20">
    <filterData filterID="745857564"/>
    <filterData filterID="31083933"/>
    <filterData filterID="325897969"/>
  </sheetItem>
  <sheetItem sheetStid="19">
    <filterData filterID="745857564">
      <hiddenRange rowFrom="4" rowTo="27"/>
      <hiddenRange rowFrom="29" rowTo="38"/>
    </filterData>
    <filterData filterID="31083933"/>
    <filterData filterID="325897969"/>
    <autofilterInfo filterID="745857564">
      <autoFilter xmlns="http://schemas.openxmlformats.org/spreadsheetml/2006/main" ref="A3:V39">
        <filterColumn colId="9">
          <customFilters>
            <customFilter operator="equal" val="ICIMWorkflowNotificationType"/>
          </customFilters>
        </filterColumn>
      </autoFilter>
    </autofilterInfo>
  </sheetItem>
</autofilters>
</file>

<file path=customXml/item2.xml><?xml version="1.0" encoding="utf-8"?>
<pixelators xmlns="https://web.wps.cn/et/2018/main" xmlns:s="http://schemas.openxmlformats.org/spreadsheetml/2006/main">
  <pixelatorList sheetStid="4"/>
  <pixelatorList sheetStid="14"/>
  <pixelatorList sheetStid="16"/>
  <pixelatorList sheetStid="18"/>
  <pixelatorList sheetStid="20"/>
  <pixelatorList sheetStid="19"/>
  <pixelatorList sheetStid="17"/>
  <pixelatorList sheetStid="21"/>
  <pixelatorList sheetStid="22"/>
  <pixelatorList sheetStid="23"/>
  <pixelatorList sheetStid="24"/>
  <pixelatorList sheetStid="25"/>
  <pixelatorList sheetStid="26"/>
  <pixelatorList sheetStid="27"/>
  <pixelatorList sheetStid="28"/>
  <pixelatorList sheetStid="29"/>
  <pixelatorList sheetStid="30"/>
  <pixelatorList sheetStid="31"/>
  <pixelatorList sheetStid="32"/>
  <pixelatorList sheetStid="33"/>
  <pixelatorList sheetStid="34"/>
  <pixelatorList sheetStid="35"/>
</pixelators>
</file>

<file path=customXml/item3.xml><?xml version="1.0" encoding="utf-8"?>
<comments xmlns="https://web.wps.cn/et/2018/main" xmlns:s="http://schemas.openxmlformats.org/spreadsheetml/2006/main">
  <commentList sheetStid="20">
    <commentChains s:ref="B5" rgbClr="FF0000">
      <unresolved>
        <commentChain chainId="00b70dea00f31135feac16ac45844901654e07a2">
          <item id="bde902f799e961e384534aebbee44570fbd14f61" isNormal="1">
            <s:text>
              <s:r>
                <s:t xml:space="preserve">陈静:
2023-6-6 添加
</s:t>
              </s:r>
            </s:text>
          </item>
        </commentChain>
      </unresolved>
      <resolved/>
    </commentChains>
    <commentChains s:ref="B8" rgbClr="FF0000">
      <unresolved>
        <commentChain chainId="e0f58c08b1c233cb283b960e5187d298cf635407">
          <item id="a3dc2a9705a5a58326b231e413d487e7a326f741" isNormal="1">
            <s:text>
              <s:r>
                <s:t xml:space="preserve">陈静:
2023-6-6 添加
</s:t>
              </s:r>
            </s:text>
          </item>
        </commentChain>
      </unresolved>
      <resolved/>
    </commentChains>
  </commentList>
  <commentList sheetStid="19">
    <commentChains s:ref="B29" rgbClr="FF0000">
      <unresolved>
        <commentChain chainId="ff1b3255d48e67cacecd93747f57cb015e629624">
          <item id="f04f2b25941074c00f3782d81b3775cd20a18ff9" isNormal="1">
            <s:text>
              <s:r>
                <s:t xml:space="preserve">陈静:
2023 6-6 添加 的关联关系
</s:t>
              </s:r>
            </s:text>
          </item>
        </commentChain>
      </unresolved>
      <resolved/>
    </commentChains>
  </commentList>
</comments>
</file>

<file path=customXml/item4.xml><?xml version="1.0" encoding="utf-8"?>
<woProps xmlns="https://web.wps.cn/et/2018/main" xmlns:s="http://schemas.openxmlformats.org/spreadsheetml/2006/main">
  <woSheetsProps>
    <woSheetProps sheetStid="4" interlineOnOff="0" interlineColor="0" isDbSheet="0" isDashBoardSheet="0" isDbDashBoardSheet="0" isFlexPaperSheet="0">
      <cellprotection/>
      <appEtDbRelations/>
    </woSheetProps>
    <woSheetProps sheetStid="14" interlineOnOff="0" interlineColor="0" isDbSheet="0" isDashBoardSheet="0" isDbDashBoardSheet="0" isFlexPaperSheet="0">
      <cellprotection/>
      <appEtDbRelations/>
    </woSheetProps>
    <woSheetProps sheetStid="16" interlineOnOff="0" interlineColor="0" isDbSheet="0" isDashBoardSheet="0" isDbDashBoardSheet="0" isFlexPaperSheet="0">
      <cellprotection/>
      <appEtDbRelations/>
    </woSheetProps>
    <woSheetProps sheetStid="18" interlineOnOff="0" interlineColor="0" isDbSheet="0" isDashBoardSheet="0" isDbDashBoardSheet="0" isFlexPaperSheet="0">
      <cellprotection/>
      <appEtDbRelations/>
    </woSheetProps>
    <woSheetProps sheetStid="20" interlineOnOff="0" interlineColor="0" isDbSheet="0" isDashBoardSheet="0" isDbDashBoardSheet="0" isFlexPaperSheet="0">
      <cellprotection/>
      <appEtDbRelations/>
    </woSheetProps>
    <woSheetProps sheetStid="19" interlineOnOff="0" interlineColor="0" isDbSheet="0" isDashBoardSheet="0" isDbDashBoardSheet="0" isFlexPaperSheet="0">
      <cellprotection/>
      <appEtDbRelations/>
    </woSheetProps>
    <woSheetProps sheetStid="17" interlineOnOff="0" interlineColor="0" isDbSheet="0" isDashBoardSheet="0" isDbDashBoardSheet="0" isFlexPaperSheet="0">
      <cellprotection/>
      <appEtDbRelations/>
    </woSheetProps>
    <woSheetProps sheetStid="21" interlineOnOff="0" interlineColor="0" isDbSheet="0" isDashBoardSheet="0" isDbDashBoardSheet="0" isFlexPaperSheet="0">
      <cellprotection/>
      <appEtDbRelations/>
    </woSheetProps>
    <woSheetProps sheetStid="22" interlineOnOff="0" interlineColor="0" isDbSheet="0" isDashBoardSheet="0" isDbDashBoardSheet="0" isFlexPaperSheet="0">
      <cellprotection/>
      <appEtDbRelations/>
    </woSheetProps>
    <woSheetProps sheetStid="23" interlineOnOff="0" interlineColor="0" isDbSheet="0" isDashBoardSheet="0" isDbDashBoardSheet="0" isFlexPaperSheet="0">
      <cellprotection/>
      <appEtDbRelations/>
    </woSheetProps>
    <woSheetProps sheetStid="24" interlineOnOff="0" interlineColor="0" isDbSheet="0" isDashBoardSheet="0" isDbDashBoardSheet="0" isFlexPaperSheet="0">
      <cellprotection/>
      <appEtDbRelations/>
    </woSheetProps>
    <woSheetProps sheetStid="25" interlineOnOff="0" interlineColor="0" isDbSheet="0" isDashBoardSheet="0" isDbDashBoardSheet="0" isFlexPaperSheet="0">
      <cellprotection/>
      <appEtDbRelations/>
    </woSheetProps>
    <woSheetProps sheetStid="26" interlineOnOff="0" interlineColor="0" isDbSheet="0" isDashBoardSheet="0" isDbDashBoardSheet="0" isFlexPaperSheet="0">
      <cellprotection/>
      <appEtDbRelations/>
    </woSheetProps>
    <woSheetProps sheetStid="27" interlineOnOff="0" interlineColor="0" isDbSheet="0" isDashBoardSheet="0" isDbDashBoardSheet="0" isFlexPaperSheet="0">
      <cellprotection/>
      <appEtDbRelations/>
    </woSheetProps>
    <woSheetProps sheetStid="28" interlineOnOff="0" interlineColor="0" isDbSheet="0" isDashBoardSheet="0" isDbDashBoardSheet="0" isFlexPaperSheet="0">
      <cellprotection/>
      <appEtDbRelations/>
    </woSheetProps>
    <woSheetProps sheetStid="29" interlineOnOff="0" interlineColor="0" isDbSheet="0" isDashBoardSheet="0" isDbDashBoardSheet="0" isFlexPaperSheet="0">
      <cellprotection/>
      <appEtDbRelations/>
    </woSheetProps>
    <woSheetProps sheetStid="30" interlineOnOff="0" interlineColor="0" isDbSheet="0" isDashBoardSheet="0" isDbDashBoardSheet="0" isFlexPaperSheet="0">
      <cellprotection/>
      <appEtDbRelations/>
    </woSheetProps>
    <woSheetProps sheetStid="31" interlineOnOff="0" interlineColor="0" isDbSheet="0" isDashBoardSheet="0" isDbDashBoardSheet="0" isFlexPaperSheet="0">
      <cellprotection/>
      <appEtDbRelations/>
    </woSheetProps>
    <woSheetProps sheetStid="32" interlineOnOff="0" interlineColor="0" isDbSheet="0" isDashBoardSheet="0" isDbDashBoardSheet="0" isFlexPaperSheet="0">
      <cellprotection/>
      <appEtDbRelations/>
    </woSheetProps>
    <woSheetProps sheetStid="33" interlineOnOff="0" interlineColor="0" isDbSheet="0" isDashBoardSheet="0" isDbDashBoardSheet="0" isFlexPaperSheet="0">
      <cellprotection/>
      <appEtDbRelations/>
    </woSheetProps>
    <woSheetProps sheetStid="34" interlineOnOff="0" interlineColor="0" isDbSheet="0" isDashBoardSheet="0" isDbDashBoardSheet="0" isFlexPaperSheet="0">
      <cellprotection/>
      <appEtDbRelations/>
    </woSheetProps>
  </woSheetsProps>
  <woBookProps>
    <bookSettings isFilterShared="0" coreConquerUserId="" isAutoUpdatePaused="0" filterType="user" isMergeTasksAutoUpdate="0" isInserPicAsAttachment="0"/>
  </woBookProps>
</woProps>
</file>

<file path=customXml/itemProps1.xml><?xml version="1.0" encoding="utf-8"?>
<ds:datastoreItem xmlns:ds="http://schemas.openxmlformats.org/officeDocument/2006/customXml" ds:itemID="{D5662047-3127-477A-AC3A-1D340467FB4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</vt:i4>
      </vt:variant>
    </vt:vector>
  </HeadingPairs>
  <TitlesOfParts>
    <vt:vector size="26" baseType="lpstr">
      <vt:lpstr>README</vt:lpstr>
      <vt:lpstr>Mapping</vt:lpstr>
      <vt:lpstr>01_接口</vt:lpstr>
      <vt:lpstr>02_枚举</vt:lpstr>
      <vt:lpstr>03_属性</vt:lpstr>
      <vt:lpstr>04_关联关系</vt:lpstr>
      <vt:lpstr>05_类型</vt:lpstr>
      <vt:lpstr>06_表单</vt:lpstr>
      <vt:lpstr>07_表单组</vt:lpstr>
      <vt:lpstr>08_表单项</vt:lpstr>
      <vt:lpstr>09_方法</vt:lpstr>
      <vt:lpstr>10_步骤类型</vt:lpstr>
      <vt:lpstr>11_步骤定义</vt:lpstr>
      <vt:lpstr>12_步骤状态</vt:lpstr>
      <vt:lpstr>13_工作流条件</vt:lpstr>
      <vt:lpstr>14_工作流通知类型</vt:lpstr>
      <vt:lpstr>15_抽象用户</vt:lpstr>
      <vt:lpstr>16_步骤接受者</vt:lpstr>
      <vt:lpstr>17_步骤模板</vt:lpstr>
      <vt:lpstr>18_工作流模板</vt:lpstr>
      <vt:lpstr>19_流程分类</vt:lpstr>
      <vt:lpstr>AllBoolean</vt:lpstr>
      <vt:lpstr>AllFormats</vt:lpstr>
      <vt:lpstr>AllScopes</vt:lpstr>
      <vt:lpstr>AllSolutions</vt:lpstr>
      <vt:lpstr>SelectedSolution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Wilson, Dell</dc:creator>
  <cp:lastModifiedBy>yangjiahang</cp:lastModifiedBy>
  <dcterms:created xsi:type="dcterms:W3CDTF">2009-03-18T09:27:00Z</dcterms:created>
  <dcterms:modified xsi:type="dcterms:W3CDTF">2023-08-03T01:29:24Z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  <property fmtid="{D5CDD505-2E9C-101B-9397-08002B2CF9AE}" pid="3" name="ICV">
    <vt:lpwstr>B2CB84F48AC04597A8113C39376BEB78</vt:lpwstr>
  </property>
  <property fmtid="{D5CDD505-2E9C-101B-9397-08002B2CF9AE}" pid="4" name="ContentTypeId">
    <vt:lpwstr>0x0101003D58443D8AA6CE4BA3EE098EB46FFC42</vt:lpwstr>
  </property>
  <property fmtid="{D5CDD505-2E9C-101B-9397-08002B2CF9AE}" pid="5" name="KSOReadingLayout">
    <vt:bool>true</vt:bool>
  </property>
</Properties>
</file>